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单机性能指标" state="visible" r:id="rId4"/>
    <sheet sheetId="2" name="单机全档" state="visible" r:id="rId5"/>
    <sheet sheetId="3" name="分片原始指标" state="visible" r:id="rId6"/>
    <sheet sheetId="4" name="指标定义与口径" state="visible" r:id="rId7"/>
  </sheets>
  <definedNames>
    <definedName name="_xlnm.Print_Titles" localSheetId="0">'单机性能指标'!$1:$5</definedName>
  </definedNames>
  <calcPr calcId="171027" fullCalcOnLoad="1"/>
</workbook>
</file>

<file path=xl/sharedStrings.xml><?xml version="1.0" encoding="utf-8"?>
<sst xmlns="http://schemas.openxmlformats.org/spreadsheetml/2006/main" count="3432" uniqueCount="1376">
  <si>
    <t>xrouter 单机性能测试指标表（2026-10-14整理）</t>
  </si>
  <si>
    <t>沿用模板指标布局；输入100 token，mock首token等待500ms，batch=1，30s爬坡；20/50/100 tok/s为单流配置速度。</t>
  </si>
  <si>
    <t>36档均有效、零记录错误；A/B/C/E=r10，D/F=r11。时延是16分片范围，不是整体分位数。旧对照及集群数据不带入。</t>
  </si>
  <si>
    <t>每个流的输出阶段时长</t>
  </si>
  <si>
    <t>稳态测试时长</t>
  </si>
  <si>
    <t>设定单流tok/s</t>
  </si>
  <si>
    <t>VUS</t>
  </si>
  <si>
    <t>TTFT超过mock固定等待（ms）</t>
  </si>
  <si>
    <t>请求成功率</t>
  </si>
  <si>
    <t>整轮平均RPS</t>
  </si>
  <si>
    <t>流时长减模板理论值（ms）</t>
  </si>
  <si>
    <t>网络接收批间隔差（ms）</t>
  </si>
  <si>
    <t>整轮输出TPS（tok/s）</t>
  </si>
  <si>
    <t>稳态成功RPS</t>
  </si>
  <si>
    <t>稳态输出TPS（tok/s）</t>
  </si>
  <si>
    <t>P50分片范围</t>
  </si>
  <si>
    <t>P90分片范围</t>
  </si>
  <si>
    <t>P99分片范围</t>
  </si>
  <si>
    <t>P50</t>
  </si>
  <si>
    <t>P90</t>
  </si>
  <si>
    <t>P99</t>
  </si>
  <si>
    <t>5s</t>
  </si>
  <si>
    <t>300s</t>
  </si>
  <si>
    <t>未测</t>
  </si>
  <si>
    <t>60s</t>
  </si>
  <si>
    <t>640s</t>
  </si>
  <si>
    <t>读表说明</t>
  </si>
  <si>
    <t>20/50/100：单流理想输出速率，1000÷间隔ms。A/C=20，E/F=50，B/D=100；不是全系统总TPS。</t>
  </si>
  <si>
    <t>输出TPS＝成功请求速率×每请求输出token；本轮零请求错误，整轮RPS等于整轮成功RPS。整轮/稳态分别列出，不混用。</t>
  </si>
  <si>
    <t>TTFT−500ms包含客户端、网络、mock调度和网关等影响；不能当作净网关开销。分位数为16片最低–最高，未拼成整体分位数。</t>
  </si>
  <si>
    <t>流时长按原模板扣500+输出token×间隔ms；实际首帧后通常只有token数−1个间隔，允许负值，不强行归零。</t>
  </si>
  <si>
    <t>网络接收批间隔未采集，因此主表填“未测”。原摘要chunk_interval_ms来自mock帧时间戳，生成诊断另见单机全档。</t>
  </si>
  <si>
    <t>A/B/C/E来自r10；r10 D直连预检15个k6分片OOM，D/F在r11整组重跑并加GOMEMLIMIT=9GiB。硬资源均不变。</t>
  </si>
  <si>
    <t>产品展示名改为xrouter；原测量二进制/文件标识仍为xlite，提交ad4e653、0.5.3，不冒称最新版本。</t>
  </si>
  <si>
    <t>仅有单机六组×六档（1k/2k/5k/10k/15k/18k），没有本轮集群、500VU、20k及以上数据；不插值，不保留历史对照数值。</t>
  </si>
  <si>
    <t>组</t>
  </si>
  <si>
    <t>输出阶段时长s</t>
  </si>
  <si>
    <t>稳态s</t>
  </si>
  <si>
    <t>每请求输出token</t>
  </si>
  <si>
    <t>理想token间隔ms</t>
  </si>
  <si>
    <t>模板理想总流时长ms</t>
  </si>
  <si>
    <t>请求数</t>
  </si>
  <si>
    <t>体采样数</t>
  </si>
  <si>
    <t>实际体采样比例</t>
  </si>
  <si>
    <t>设定体采样比例</t>
  </si>
  <si>
    <t>整轮RPS</t>
  </si>
  <si>
    <t>整轮输出TPS</t>
  </si>
  <si>
    <t>稳态输出TPS</t>
  </si>
  <si>
    <t>整轮输出TPM</t>
  </si>
  <si>
    <t>稳态输出TPM</t>
  </si>
  <si>
    <t>TTFT-500 P50下界ms</t>
  </si>
  <si>
    <t>TTFT-500 P50上界ms</t>
  </si>
  <si>
    <t>TTFT-500 P90下界ms</t>
  </si>
  <si>
    <t>TTFT-500 P90上界ms</t>
  </si>
  <si>
    <t>TTFT-500 P99下界ms</t>
  </si>
  <si>
    <t>TTFT-500 P99上界ms</t>
  </si>
  <si>
    <t>流时长-理论 P50下界ms</t>
  </si>
  <si>
    <t>流时长-理论 P50上界ms</t>
  </si>
  <si>
    <t>流时长-理论 P90下界ms</t>
  </si>
  <si>
    <t>流时长-理论 P90上界ms</t>
  </si>
  <si>
    <t>流时长-理论 P99下界ms</t>
  </si>
  <si>
    <t>流时长-理论 P99上界ms</t>
  </si>
  <si>
    <t>mock生成批间隔差 P50下界ms</t>
  </si>
  <si>
    <t>mock生成批间隔差 P50上界ms</t>
  </si>
  <si>
    <t>mock生成批间隔差 P90下界ms</t>
  </si>
  <si>
    <t>mock生成批间隔差 P90上界ms</t>
  </si>
  <si>
    <t>mock生成批间隔差 P99下界ms</t>
  </si>
  <si>
    <t>mock生成批间隔差 P99上界ms</t>
  </si>
  <si>
    <t>TTFT加权均值ms</t>
  </si>
  <si>
    <t>HTTP流时长加权均值ms</t>
  </si>
  <si>
    <t>迭代时长加权均值ms</t>
  </si>
  <si>
    <t>估算活跃流</t>
  </si>
  <si>
    <t>执行批次</t>
  </si>
  <si>
    <t>k6内存软限制</t>
  </si>
  <si>
    <t>原始阶段标识</t>
  </si>
  <si>
    <t>网络接收批间隔P50</t>
  </si>
  <si>
    <t>网络接收批间隔P90</t>
  </si>
  <si>
    <t>网络接收批间隔P99</t>
  </si>
  <si>
    <t>A</t>
  </si>
  <si>
    <t>r10</t>
  </si>
  <si>
    <t>未设软限制</t>
  </si>
  <si>
    <t>formal-xlite-A-1000</t>
  </si>
  <si>
    <t>formal-xlite-A-2000</t>
  </si>
  <si>
    <t>formal-xlite-A-5000</t>
  </si>
  <si>
    <t>formal-xlite-A-10000</t>
  </si>
  <si>
    <t>formal-xlite-A-15000</t>
  </si>
  <si>
    <t>formal-xlite-A-18000</t>
  </si>
  <si>
    <t>E</t>
  </si>
  <si>
    <t>formal-xlite-E-1000</t>
  </si>
  <si>
    <t>formal-xlite-E-2000</t>
  </si>
  <si>
    <t>formal-xlite-E-5000</t>
  </si>
  <si>
    <t>formal-xlite-E-10000</t>
  </si>
  <si>
    <t>formal-xlite-E-15000</t>
  </si>
  <si>
    <t>formal-xlite-E-18000</t>
  </si>
  <si>
    <t>B</t>
  </si>
  <si>
    <t>formal-xlite-B-1000</t>
  </si>
  <si>
    <t>formal-xlite-B-2000</t>
  </si>
  <si>
    <t>formal-xlite-B-5000</t>
  </si>
  <si>
    <t>formal-xlite-B-10000</t>
  </si>
  <si>
    <t>formal-xlite-B-15000</t>
  </si>
  <si>
    <t>formal-xlite-B-18000</t>
  </si>
  <si>
    <t>C</t>
  </si>
  <si>
    <t>formal-xlite-C-1000</t>
  </si>
  <si>
    <t>formal-xlite-C-2000</t>
  </si>
  <si>
    <t>formal-xlite-C-5000</t>
  </si>
  <si>
    <t>formal-xlite-C-10000</t>
  </si>
  <si>
    <t>formal-xlite-C-15000</t>
  </si>
  <si>
    <t>formal-xlite-C-18000</t>
  </si>
  <si>
    <t>F</t>
  </si>
  <si>
    <t>r11</t>
  </si>
  <si>
    <t>9GiB/片</t>
  </si>
  <si>
    <t>formal-xlite-F-1000</t>
  </si>
  <si>
    <t>formal-xlite-F-2000</t>
  </si>
  <si>
    <t>formal-xlite-F-5000</t>
  </si>
  <si>
    <t>formal-xlite-F-10000</t>
  </si>
  <si>
    <t>formal-xlite-F-15000</t>
  </si>
  <si>
    <t>formal-xlite-F-18000</t>
  </si>
  <si>
    <t>D</t>
  </si>
  <si>
    <t>formal-xlite-D-1000</t>
  </si>
  <si>
    <t>formal-xlite-D-2000</t>
  </si>
  <si>
    <t>formal-xlite-D-5000</t>
  </si>
  <si>
    <t>formal-xlite-D-10000</t>
  </si>
  <si>
    <t>formal-xlite-D-15000</t>
  </si>
  <si>
    <t>formal-xlite-D-18000</t>
  </si>
  <si>
    <t>产品</t>
  </si>
  <si>
    <t>分片</t>
  </si>
  <si>
    <t>分片最大VUS</t>
  </si>
  <si>
    <t>稳态成功请求数</t>
  </si>
  <si>
    <t>HTTP失败比例</t>
  </si>
  <si>
    <t>TTFT P50ms</t>
  </si>
  <si>
    <t>TTFT P90ms</t>
  </si>
  <si>
    <t>TTFT P99ms</t>
  </si>
  <si>
    <t>HTTP流时长P50ms</t>
  </si>
  <si>
    <t>HTTP流时长P90ms</t>
  </si>
  <si>
    <t>HTTP流时长P99ms</t>
  </si>
  <si>
    <t>mock生成间隔P50ms</t>
  </si>
  <si>
    <t>mock生成间隔P90ms</t>
  </si>
  <si>
    <t>mock生成间隔P99ms</t>
  </si>
  <si>
    <t>TTFT均值ms</t>
  </si>
  <si>
    <t>HTTP流时长均值ms</t>
  </si>
  <si>
    <t>迭代时长均值ms</t>
  </si>
  <si>
    <t>体校验错误</t>
  </si>
  <si>
    <t>传输错误</t>
  </si>
  <si>
    <t>非200</t>
  </si>
  <si>
    <t>原始摘要相对路径</t>
  </si>
  <si>
    <t>摘要SHA256</t>
  </si>
  <si>
    <t>xrouter</t>
  </si>
  <si>
    <t>raw/assembled/sources/r10/results/formal-xlite-A-1000.shard-0.summary.json</t>
  </si>
  <si>
    <t>9be4031632354966b0990c3e1895db5c60635006726234570252174ecb041a16</t>
  </si>
  <si>
    <t>raw/assembled/sources/r10/results/formal-xlite-A-1000.shard-1.summary.json</t>
  </si>
  <si>
    <t>7c41efe263fc5ad225aac963bc2f13ef2296250443a43debf1199a72edf6b1cf</t>
  </si>
  <si>
    <t>raw/assembled/sources/r10/results/formal-xlite-A-1000.shard-2.summary.json</t>
  </si>
  <si>
    <t>39327d64f9a1a5e2b0060bc0f2bfae762ed9a3936d3e391234661f0f113deb1c</t>
  </si>
  <si>
    <t>raw/assembled/sources/r10/results/formal-xlite-A-1000.shard-3.summary.json</t>
  </si>
  <si>
    <t>24f46fced2fc542b41d3fcac7b1efd5d7751f84b203285ff6be2984dbc4f7bc4</t>
  </si>
  <si>
    <t>raw/assembled/sources/r10/results/formal-xlite-A-1000.shard-4.summary.json</t>
  </si>
  <si>
    <t>c5fa3d45e029a6f2a1538ddafff209f1627382e3ee30f22fdb5637b2be631b28</t>
  </si>
  <si>
    <t>raw/assembled/sources/r10/results/formal-xlite-A-1000.shard-5.summary.json</t>
  </si>
  <si>
    <t>f95312bcb8a52526cae8cc8b418051ab1a34e79f6b2847ae4b812a2bca35a68a</t>
  </si>
  <si>
    <t>raw/assembled/sources/r10/results/formal-xlite-A-1000.shard-6.summary.json</t>
  </si>
  <si>
    <t>0a4e22a38610a89d9e4d6aefb38f30128d3fe15856f595401cfd458cba3228a9</t>
  </si>
  <si>
    <t>raw/assembled/sources/r10/results/formal-xlite-A-1000.shard-7.summary.json</t>
  </si>
  <si>
    <t>eacd7cb62602f00befb0ee0bb61c2f4282787c36fcbb36fa5c5dd5382ef4b372</t>
  </si>
  <si>
    <t>raw/assembled/sources/r10/results/formal-xlite-A-1000.shard-8.summary.json</t>
  </si>
  <si>
    <t>5310885f5281b8f866cafa52e5df63ea8ed575995bb62b5a87b0f4ccc7af4c44</t>
  </si>
  <si>
    <t>raw/assembled/sources/r10/results/formal-xlite-A-1000.shard-9.summary.json</t>
  </si>
  <si>
    <t>6c3c528e14cde1560861c805185efdc44c859b3e8bc1b2a5393a5d8395d3f61d</t>
  </si>
  <si>
    <t>raw/assembled/sources/r10/results/formal-xlite-A-1000.shard-10.summary.json</t>
  </si>
  <si>
    <t>1ea98c1b7b173da7da7b02bc1d02c4eea6ce139126cd2e134c4f5bc7c9c9a60f</t>
  </si>
  <si>
    <t>raw/assembled/sources/r10/results/formal-xlite-A-1000.shard-11.summary.json</t>
  </si>
  <si>
    <t>83d3cbba39f5750ea3262462aeb867f95a42c4768e4141f1ee774a008ad7c9f8</t>
  </si>
  <si>
    <t>raw/assembled/sources/r10/results/formal-xlite-A-1000.shard-12.summary.json</t>
  </si>
  <si>
    <t>ceca30edbfce75acd09239b47e24b80ee681c725b13fbc50b852049398243d74</t>
  </si>
  <si>
    <t>raw/assembled/sources/r10/results/formal-xlite-A-1000.shard-13.summary.json</t>
  </si>
  <si>
    <t>2174d55ed912912a8921d3c9d779c6fe694d7dfc5bf98c93aaf4db2d57150629</t>
  </si>
  <si>
    <t>raw/assembled/sources/r10/results/formal-xlite-A-1000.shard-14.summary.json</t>
  </si>
  <si>
    <t>cb12d88deeecd3fa8f1ae9650366574b81d6d51b3ab4ce34c5b2a79170aac46a</t>
  </si>
  <si>
    <t>raw/assembled/sources/r10/results/formal-xlite-A-1000.shard-15.summary.json</t>
  </si>
  <si>
    <t>1b65098ee1c156f9f870fbbf7df6b8771d2651ec6c748aca0e116905e620f440</t>
  </si>
  <si>
    <t>raw/assembled/sources/r10/results/formal-xlite-A-2000.shard-0.summary.json</t>
  </si>
  <si>
    <t>5ca0f5e9c1f9a23c72f136f800024065e25b626c6d068f488128142978f82994</t>
  </si>
  <si>
    <t>raw/assembled/sources/r10/results/formal-xlite-A-2000.shard-1.summary.json</t>
  </si>
  <si>
    <t>644a8b5e7030f45a574d5859bf00cecb1b3f5702aced3c3ac4cd6f2f48a2e236</t>
  </si>
  <si>
    <t>raw/assembled/sources/r10/results/formal-xlite-A-2000.shard-2.summary.json</t>
  </si>
  <si>
    <t>f6c69c8e2030445bd87124b514bd31792ef7d568df1230a6a8e8fd9a034e030e</t>
  </si>
  <si>
    <t>raw/assembled/sources/r10/results/formal-xlite-A-2000.shard-3.summary.json</t>
  </si>
  <si>
    <t>de1d01c53cab63a8d352b18bc7b2a26bb79f37695e55c21cb2cb2af25852845a</t>
  </si>
  <si>
    <t>raw/assembled/sources/r10/results/formal-xlite-A-2000.shard-4.summary.json</t>
  </si>
  <si>
    <t>43a27bd2fc84bbf4cb9b8182a87892755f83ad45e265ca176ad67fd85b949821</t>
  </si>
  <si>
    <t>raw/assembled/sources/r10/results/formal-xlite-A-2000.shard-5.summary.json</t>
  </si>
  <si>
    <t>97e16fe13c19b7df754090cd7ea5e4752677ddd8c5d7631814a8ba3ba278eb11</t>
  </si>
  <si>
    <t>raw/assembled/sources/r10/results/formal-xlite-A-2000.shard-6.summary.json</t>
  </si>
  <si>
    <t>c52f3993e2401294e759b10c10d4e9f405af7d6391fdb5b908bb99f03111b822</t>
  </si>
  <si>
    <t>raw/assembled/sources/r10/results/formal-xlite-A-2000.shard-7.summary.json</t>
  </si>
  <si>
    <t>3928d0528443831a41a4db8f8245a4ed0d032fdb64421e4df8558390f4b89dbd</t>
  </si>
  <si>
    <t>raw/assembled/sources/r10/results/formal-xlite-A-2000.shard-8.summary.json</t>
  </si>
  <si>
    <t>d0728c370ea24e7c9636c75ace8c22b6281b59d5a6bfadd7c111cef1d4051dbf</t>
  </si>
  <si>
    <t>raw/assembled/sources/r10/results/formal-xlite-A-2000.shard-9.summary.json</t>
  </si>
  <si>
    <t>8f8d95bc070c836aefdee114efaeedee34335d5e00b1dd54f64a854734ccc44b</t>
  </si>
  <si>
    <t>raw/assembled/sources/r10/results/formal-xlite-A-2000.shard-10.summary.json</t>
  </si>
  <si>
    <t>0b8bfaedc5d36d8746d821bd74f47ebe2c11d77d963312bbdd8f2a76c1c843d4</t>
  </si>
  <si>
    <t>raw/assembled/sources/r10/results/formal-xlite-A-2000.shard-11.summary.json</t>
  </si>
  <si>
    <t>ced94865067287b5c8f8e416f18d7e337e4244ad443545fb580480e081244754</t>
  </si>
  <si>
    <t>raw/assembled/sources/r10/results/formal-xlite-A-2000.shard-12.summary.json</t>
  </si>
  <si>
    <t>9ec239af8ea9045964b2e2c1b8e9abb875c7e384e7fcd97c5c07a131b3b2f036</t>
  </si>
  <si>
    <t>raw/assembled/sources/r10/results/formal-xlite-A-2000.shard-13.summary.json</t>
  </si>
  <si>
    <t>734a7ea5f0c2a0c08d84d1af1d04caf7573068d628bdff9aae60c4e87cf4acce</t>
  </si>
  <si>
    <t>raw/assembled/sources/r10/results/formal-xlite-A-2000.shard-14.summary.json</t>
  </si>
  <si>
    <t>3c0ceb5a1fedd40e57a5163c80772ceec84f5496be82c23df470f16e4c5ec578</t>
  </si>
  <si>
    <t>raw/assembled/sources/r10/results/formal-xlite-A-2000.shard-15.summary.json</t>
  </si>
  <si>
    <t>067c242eebc83d6cdbeff23edfb9daec7cce3ad4e4e0b631fa5aa656cbe9c185</t>
  </si>
  <si>
    <t>raw/assembled/sources/r10/results/formal-xlite-A-5000.shard-0.summary.json</t>
  </si>
  <si>
    <t>9615a944a1d0818281c5f02780d651f255af8e2b9cdef35a22fc10bf98dccdd7</t>
  </si>
  <si>
    <t>raw/assembled/sources/r10/results/formal-xlite-A-5000.shard-1.summary.json</t>
  </si>
  <si>
    <t>2e7a052e9e713be4714a566e937a53e122debe1666e7bae08bcc2fbb8a1a220b</t>
  </si>
  <si>
    <t>raw/assembled/sources/r10/results/formal-xlite-A-5000.shard-2.summary.json</t>
  </si>
  <si>
    <t>aa37d4043d10ef24d8096b5a9b3f20d30c11619730c905ddf5fd823cbef2548f</t>
  </si>
  <si>
    <t>raw/assembled/sources/r10/results/formal-xlite-A-5000.shard-3.summary.json</t>
  </si>
  <si>
    <t>2d238385291dc173d45017a828d03e48c22a13cf0a82add4d9a10497a25e8d48</t>
  </si>
  <si>
    <t>raw/assembled/sources/r10/results/formal-xlite-A-5000.shard-4.summary.json</t>
  </si>
  <si>
    <t>b378287e10b8197b80284df991098b7a6514d893fe2e1507a06e060cd00aafc9</t>
  </si>
  <si>
    <t>raw/assembled/sources/r10/results/formal-xlite-A-5000.shard-5.summary.json</t>
  </si>
  <si>
    <t>f43ccb663987befe059482df91f34bf9264567c2da77b3f7fe02355eadb99507</t>
  </si>
  <si>
    <t>raw/assembled/sources/r10/results/formal-xlite-A-5000.shard-6.summary.json</t>
  </si>
  <si>
    <t>4369900c7fd64c644446163cf19be8badc9ad6926417bd34eb7f59fadb067bd9</t>
  </si>
  <si>
    <t>raw/assembled/sources/r10/results/formal-xlite-A-5000.shard-7.summary.json</t>
  </si>
  <si>
    <t>d7bd09832bf8fce3b34fb518ba9dec8722ee86f781d34dec4f40d1afef5108c7</t>
  </si>
  <si>
    <t>raw/assembled/sources/r10/results/formal-xlite-A-5000.shard-8.summary.json</t>
  </si>
  <si>
    <t>305c4fcb0480d450b513f0a3765e13d98435e75ada59f79fc86cb9d9bae31360</t>
  </si>
  <si>
    <t>raw/assembled/sources/r10/results/formal-xlite-A-5000.shard-9.summary.json</t>
  </si>
  <si>
    <t>98feb21b3b28b9d35be50178fce5eb7afd124df1e4fa04fac3d0bc7c8d49d325</t>
  </si>
  <si>
    <t>raw/assembled/sources/r10/results/formal-xlite-A-5000.shard-10.summary.json</t>
  </si>
  <si>
    <t>d4785cfc8cc14484b18c0ae3c1b1ab7d22e6147cac9e7a3617f55c71937a21d3</t>
  </si>
  <si>
    <t>raw/assembled/sources/r10/results/formal-xlite-A-5000.shard-11.summary.json</t>
  </si>
  <si>
    <t>87a17b387177d8c03f1c9ec05570d38635646a8a3d09e0fb37fa584b9ad6700a</t>
  </si>
  <si>
    <t>raw/assembled/sources/r10/results/formal-xlite-A-5000.shard-12.summary.json</t>
  </si>
  <si>
    <t>4ee22f133a41c4d769bf97e04de574d19ef30ca47c2000ec48a4d6e4b99fd400</t>
  </si>
  <si>
    <t>raw/assembled/sources/r10/results/formal-xlite-A-5000.shard-13.summary.json</t>
  </si>
  <si>
    <t>eec14026cf8f44d23effd89073be7009825511f694c8b5a5ba373642ce346a7d</t>
  </si>
  <si>
    <t>raw/assembled/sources/r10/results/formal-xlite-A-5000.shard-14.summary.json</t>
  </si>
  <si>
    <t>1abcba210bb1a1ef1386ac70fb1d28a1c624f74a45ac96584ddedb374824d826</t>
  </si>
  <si>
    <t>raw/assembled/sources/r10/results/formal-xlite-A-5000.shard-15.summary.json</t>
  </si>
  <si>
    <t>fa4eed2fc7a04184afa11000947cb4734b9c06e5c25a57ce8691f1e23da34958</t>
  </si>
  <si>
    <t>raw/assembled/sources/r10/results/formal-xlite-A-10000.shard-0.summary.json</t>
  </si>
  <si>
    <t>c6c7a47c36f2107cac323f122a95b2e58b532d2f308b0b81136d40c134d24ef3</t>
  </si>
  <si>
    <t>raw/assembled/sources/r10/results/formal-xlite-A-10000.shard-1.summary.json</t>
  </si>
  <si>
    <t>2b912fe971c244eb89315bdd98cda4fd36b3684cbb1e7f0c14074b61092727aa</t>
  </si>
  <si>
    <t>raw/assembled/sources/r10/results/formal-xlite-A-10000.shard-2.summary.json</t>
  </si>
  <si>
    <t>51b7ab25474ec766e9f384de055be805ba6607c2a803527a413aac24fedf4670</t>
  </si>
  <si>
    <t>raw/assembled/sources/r10/results/formal-xlite-A-10000.shard-3.summary.json</t>
  </si>
  <si>
    <t>a6ce17db31d089352cdb116f851583de747104a10d6efa70c70e7d1ad2752cb6</t>
  </si>
  <si>
    <t>raw/assembled/sources/r10/results/formal-xlite-A-10000.shard-4.summary.json</t>
  </si>
  <si>
    <t>154c54860f5314105343fdaaf6c0468c5def9eb2b9808166ef0c4f3413c895d9</t>
  </si>
  <si>
    <t>raw/assembled/sources/r10/results/formal-xlite-A-10000.shard-5.summary.json</t>
  </si>
  <si>
    <t>6ad2a7821d273c71ccbc586f43157287f3f0d66d92aa82a0255619d8b9691d60</t>
  </si>
  <si>
    <t>raw/assembled/sources/r10/results/formal-xlite-A-10000.shard-6.summary.json</t>
  </si>
  <si>
    <t>076ea5a36deb610ceb71de19c4f2dd0e26be1fa15db93811c0c0dda64bbcb576</t>
  </si>
  <si>
    <t>raw/assembled/sources/r10/results/formal-xlite-A-10000.shard-7.summary.json</t>
  </si>
  <si>
    <t>9a03e4a0d7b8fda435f8a419601a8ea8c8c92e119e3b06d4356df18781ed8282</t>
  </si>
  <si>
    <t>raw/assembled/sources/r10/results/formal-xlite-A-10000.shard-8.summary.json</t>
  </si>
  <si>
    <t>181a06baf8b02f6ca2f2c05efb29916fe81f50070f0f841d33a21c0ed1090e3b</t>
  </si>
  <si>
    <t>raw/assembled/sources/r10/results/formal-xlite-A-10000.shard-9.summary.json</t>
  </si>
  <si>
    <t>ba50f947fcc862b0a8153de0f58a10132d1b50fe0789fcdf8b1a3255a1beef04</t>
  </si>
  <si>
    <t>raw/assembled/sources/r10/results/formal-xlite-A-10000.shard-10.summary.json</t>
  </si>
  <si>
    <t>78d1d204bb4143557f0516cd75949f8fe64ebf1daedc2669a34eac2e18669340</t>
  </si>
  <si>
    <t>raw/assembled/sources/r10/results/formal-xlite-A-10000.shard-11.summary.json</t>
  </si>
  <si>
    <t>7353745b8b1916aeaeb73f0cf7fbc46a02467cab7d1fd6768a7cd5d6b79f2ed5</t>
  </si>
  <si>
    <t>raw/assembled/sources/r10/results/formal-xlite-A-10000.shard-12.summary.json</t>
  </si>
  <si>
    <t>8a70ededf018fd91eafb442135da043bd91a81be92d5ea6f55c4678c275cc826</t>
  </si>
  <si>
    <t>raw/assembled/sources/r10/results/formal-xlite-A-10000.shard-13.summary.json</t>
  </si>
  <si>
    <t>23a083d432558013b8d6400cbd43b77e4b6efb3fe6485e3492a48caf630ce3d7</t>
  </si>
  <si>
    <t>raw/assembled/sources/r10/results/formal-xlite-A-10000.shard-14.summary.json</t>
  </si>
  <si>
    <t>fabcb6d8da8a5d84d899d78d82ad48be5dc0177d15ada2a797b41d4a5d8f4842</t>
  </si>
  <si>
    <t>raw/assembled/sources/r10/results/formal-xlite-A-10000.shard-15.summary.json</t>
  </si>
  <si>
    <t>20612fa274b05178709ee7e634c1940b1ce661e1db9d283aea3bd5bf955944d0</t>
  </si>
  <si>
    <t>raw/assembled/sources/r10/results/formal-xlite-A-15000.shard-0.summary.json</t>
  </si>
  <si>
    <t>7f5da7ca7b08b2c445d1a8aeae4c7deb43e9180f3cf393eb804f1f1985b0ea55</t>
  </si>
  <si>
    <t>raw/assembled/sources/r10/results/formal-xlite-A-15000.shard-1.summary.json</t>
  </si>
  <si>
    <t>6d65cb25fdcaf2284adc93e0d65fd272f1a91d276581bacc2c167b542f96ce4f</t>
  </si>
  <si>
    <t>raw/assembled/sources/r10/results/formal-xlite-A-15000.shard-2.summary.json</t>
  </si>
  <si>
    <t>d86fcf034a31e6bb37dee7ad627ef27040acc06f64d7e1b2ce239a747b9c0105</t>
  </si>
  <si>
    <t>raw/assembled/sources/r10/results/formal-xlite-A-15000.shard-3.summary.json</t>
  </si>
  <si>
    <t>8826e7dcaea05d8a9b0bdd65a073993a39aa4377453892d9f291e8ceb6f4cd78</t>
  </si>
  <si>
    <t>raw/assembled/sources/r10/results/formal-xlite-A-15000.shard-4.summary.json</t>
  </si>
  <si>
    <t>99494a4c634c29225f17a7e7cf2dae4d15607cdc421d78d0a8a88049451a10ee</t>
  </si>
  <si>
    <t>raw/assembled/sources/r10/results/formal-xlite-A-15000.shard-5.summary.json</t>
  </si>
  <si>
    <t>cc5db67bb980a011f6f4c28c2155ba16e55e6b27fcb846926793e1be23d83999</t>
  </si>
  <si>
    <t>raw/assembled/sources/r10/results/formal-xlite-A-15000.shard-6.summary.json</t>
  </si>
  <si>
    <t>628b4bc9fd06b6cabbef79b0b598fd200af1553b5f82bccd755850cde0dc85d8</t>
  </si>
  <si>
    <t>raw/assembled/sources/r10/results/formal-xlite-A-15000.shard-7.summary.json</t>
  </si>
  <si>
    <t>14445e1155f25af2d6f049deadfc9c18e2390e7d727881486bd357c507dec09e</t>
  </si>
  <si>
    <t>raw/assembled/sources/r10/results/formal-xlite-A-15000.shard-8.summary.json</t>
  </si>
  <si>
    <t>421cf59124836b451079802898290c976d88c7fe94a8cc13b009da0601a397c9</t>
  </si>
  <si>
    <t>raw/assembled/sources/r10/results/formal-xlite-A-15000.shard-9.summary.json</t>
  </si>
  <si>
    <t>13c731068780843b02892b16f62d54add4998d9a277f60b4dc62cf68d18916d0</t>
  </si>
  <si>
    <t>raw/assembled/sources/r10/results/formal-xlite-A-15000.shard-10.summary.json</t>
  </si>
  <si>
    <t>7b9e3ec81e2d5ba30cf5f2ebb9fe527c90f235bdb474b493cde748031001e910</t>
  </si>
  <si>
    <t>raw/assembled/sources/r10/results/formal-xlite-A-15000.shard-11.summary.json</t>
  </si>
  <si>
    <t>09098ae321f8918cc8b7a0c0aa572759e3b36f68e22cfdec42b8733ce2d6d317</t>
  </si>
  <si>
    <t>raw/assembled/sources/r10/results/formal-xlite-A-15000.shard-12.summary.json</t>
  </si>
  <si>
    <t>40c7f3f0a0fe0db703d1201e7879193a96e6d8bbc14944b3d57c10679b99f9d6</t>
  </si>
  <si>
    <t>raw/assembled/sources/r10/results/formal-xlite-A-15000.shard-13.summary.json</t>
  </si>
  <si>
    <t>e5cafd72c568357544ea2da792bda73898e22a32e5d0ace9dd4409999f4287bc</t>
  </si>
  <si>
    <t>raw/assembled/sources/r10/results/formal-xlite-A-15000.shard-14.summary.json</t>
  </si>
  <si>
    <t>7a7d35cd82bf126102b5127866c5b779a84032fa90936808eee39ef01142bac5</t>
  </si>
  <si>
    <t>raw/assembled/sources/r10/results/formal-xlite-A-15000.shard-15.summary.json</t>
  </si>
  <si>
    <t>37cd7616f3b0846f412ca9031d1eed8edbeedd02ab68701f80b1fb9064c24619</t>
  </si>
  <si>
    <t>raw/assembled/sources/r10/results/formal-xlite-A-18000.shard-0.summary.json</t>
  </si>
  <si>
    <t>ca3f967e2ae9626f6f8f0dcb0c865ad484dd8ad80bb530e5a2a411685649fdf2</t>
  </si>
  <si>
    <t>raw/assembled/sources/r10/results/formal-xlite-A-18000.shard-1.summary.json</t>
  </si>
  <si>
    <t>f1bdb2640f932e30dcca35c1e73b56921290732ff43d702d64aa8d36c789930d</t>
  </si>
  <si>
    <t>raw/assembled/sources/r10/results/formal-xlite-A-18000.shard-2.summary.json</t>
  </si>
  <si>
    <t>9964f43fe4dbf41f3a5ffdebe97ef82e3fcbd70dcf420d246bbdfac0cd704439</t>
  </si>
  <si>
    <t>raw/assembled/sources/r10/results/formal-xlite-A-18000.shard-3.summary.json</t>
  </si>
  <si>
    <t>a914297658b820fee50ef0d2a90e28378192dd102896b9dfd4ac936dcfb675fd</t>
  </si>
  <si>
    <t>raw/assembled/sources/r10/results/formal-xlite-A-18000.shard-4.summary.json</t>
  </si>
  <si>
    <t>00a07ae53cfbe8c02b7526a4edc235f109f375b88e941c5ac8d13cf9bf35d84d</t>
  </si>
  <si>
    <t>raw/assembled/sources/r10/results/formal-xlite-A-18000.shard-5.summary.json</t>
  </si>
  <si>
    <t>f2f32bc9506b4791c01e3b80a12422f93ec5627b10f2526122fb45acdb6ef008</t>
  </si>
  <si>
    <t>raw/assembled/sources/r10/results/formal-xlite-A-18000.shard-6.summary.json</t>
  </si>
  <si>
    <t>b3417655d18047d8f289c3d82f44344dc88b0f832ea565806f8a554a3c0204be</t>
  </si>
  <si>
    <t>raw/assembled/sources/r10/results/formal-xlite-A-18000.shard-7.summary.json</t>
  </si>
  <si>
    <t>ac30c93332101f33c5a2ddcbdc0e14a93ab1c23999b630a6e63ec81b1d66830f</t>
  </si>
  <si>
    <t>raw/assembled/sources/r10/results/formal-xlite-A-18000.shard-8.summary.json</t>
  </si>
  <si>
    <t>91ed59f7d2c508aeb54fd03a67af7a46e81611d29dc8ecef5fb7136320a7787b</t>
  </si>
  <si>
    <t>raw/assembled/sources/r10/results/formal-xlite-A-18000.shard-9.summary.json</t>
  </si>
  <si>
    <t>fbbf0f539df40313a256bff4dda9d9e89a46fd4104add6570b542449884ee195</t>
  </si>
  <si>
    <t>raw/assembled/sources/r10/results/formal-xlite-A-18000.shard-10.summary.json</t>
  </si>
  <si>
    <t>76482eb37b6c07b4cb0e24a7ec75e6ab0ed29f58cd8f87391a91b4f593be7556</t>
  </si>
  <si>
    <t>raw/assembled/sources/r10/results/formal-xlite-A-18000.shard-11.summary.json</t>
  </si>
  <si>
    <t>e139d063d4e050bd88629294522e3c15d7330a5b92ce50141932fe32071d949b</t>
  </si>
  <si>
    <t>raw/assembled/sources/r10/results/formal-xlite-A-18000.shard-12.summary.json</t>
  </si>
  <si>
    <t>fe209d6411f89e6473629114ad7b243cb0774e185ac48eca6961025985f6b246</t>
  </si>
  <si>
    <t>raw/assembled/sources/r10/results/formal-xlite-A-18000.shard-13.summary.json</t>
  </si>
  <si>
    <t>06a0f1856cf6ecfaf31a144454b1b22089d7585da2819b5089277b02d17bda1c</t>
  </si>
  <si>
    <t>raw/assembled/sources/r10/results/formal-xlite-A-18000.shard-14.summary.json</t>
  </si>
  <si>
    <t>770c51d2cf98999f8cd3854cb1338cf5029026223f9ea1ec81030f49c32b574f</t>
  </si>
  <si>
    <t>raw/assembled/sources/r10/results/formal-xlite-A-18000.shard-15.summary.json</t>
  </si>
  <si>
    <t>8d5d39418faacff31a10e4bd78df197a091a9e28a2adf84b77c8405d1ab73934</t>
  </si>
  <si>
    <t>raw/assembled/sources/r10/results/formal-xlite-E-1000.shard-0.summary.json</t>
  </si>
  <si>
    <t>08fa62cf00349e8bd0660c5669bf6660070c95fed30edbbf03ba618fcfde72a3</t>
  </si>
  <si>
    <t>raw/assembled/sources/r10/results/formal-xlite-E-1000.shard-1.summary.json</t>
  </si>
  <si>
    <t>350d062801f5f08d4c37a7a79c2bcd88cb85111905dab52827ad0d6f5d17f658</t>
  </si>
  <si>
    <t>raw/assembled/sources/r10/results/formal-xlite-E-1000.shard-2.summary.json</t>
  </si>
  <si>
    <t>c04d35188953df6166231a62c00da7fa53da9df6ed361019f2c3e0a3234582b8</t>
  </si>
  <si>
    <t>raw/assembled/sources/r10/results/formal-xlite-E-1000.shard-3.summary.json</t>
  </si>
  <si>
    <t>199eb95a6f9f064c00313e78267f020e2df35382711dd1e9fea41e70f25f7899</t>
  </si>
  <si>
    <t>raw/assembled/sources/r10/results/formal-xlite-E-1000.shard-4.summary.json</t>
  </si>
  <si>
    <t>eaa87b21424380b9f13093b8e5bd804fb24a47cbe989e5d9dc255700ae892bd9</t>
  </si>
  <si>
    <t>raw/assembled/sources/r10/results/formal-xlite-E-1000.shard-5.summary.json</t>
  </si>
  <si>
    <t>ecfa5e77d6570666def362845792d7d37cd221852bcc485e7472e020c4581d1c</t>
  </si>
  <si>
    <t>raw/assembled/sources/r10/results/formal-xlite-E-1000.shard-6.summary.json</t>
  </si>
  <si>
    <t>52c68364e8cf5aa0d0f3baeba40d3fe9fe67d7b7e67db6cb5864a0f0eb71aea1</t>
  </si>
  <si>
    <t>raw/assembled/sources/r10/results/formal-xlite-E-1000.shard-7.summary.json</t>
  </si>
  <si>
    <t>1fc844e48d09d9541d5f551bca61937cb35e1964e331e8e06fcd6418695a1092</t>
  </si>
  <si>
    <t>raw/assembled/sources/r10/results/formal-xlite-E-1000.shard-8.summary.json</t>
  </si>
  <si>
    <t>38d1a4af78c8044d77c6bbfcdf8cd5baba236534e47dec35e3d8705999c33e44</t>
  </si>
  <si>
    <t>raw/assembled/sources/r10/results/formal-xlite-E-1000.shard-9.summary.json</t>
  </si>
  <si>
    <t>cd9f710e61d7b9e7669fc48eec6820e83d8f6b2c52bba3ed631e05a37402fdba</t>
  </si>
  <si>
    <t>raw/assembled/sources/r10/results/formal-xlite-E-1000.shard-10.summary.json</t>
  </si>
  <si>
    <t>350d1cbd05b7e3f62a5e70df6ec6ef77d144222f4c898247b3c3e5792423ff68</t>
  </si>
  <si>
    <t>raw/assembled/sources/r10/results/formal-xlite-E-1000.shard-11.summary.json</t>
  </si>
  <si>
    <t>c2f27406a5bd4afe8fc85f14ac8d0dba8f6bb540ce5e39e26dcc7c6187ace4a1</t>
  </si>
  <si>
    <t>raw/assembled/sources/r10/results/formal-xlite-E-1000.shard-12.summary.json</t>
  </si>
  <si>
    <t>7d4d04ff9ad44dd84bd89f759c2c17a67a46064c34c03c7458b0c3ff7e1e0562</t>
  </si>
  <si>
    <t>raw/assembled/sources/r10/results/formal-xlite-E-1000.shard-13.summary.json</t>
  </si>
  <si>
    <t>8044bce59c7a78338cd54f2ea278c889c7637c820d44b3500dd33d2b75e463f3</t>
  </si>
  <si>
    <t>raw/assembled/sources/r10/results/formal-xlite-E-1000.shard-14.summary.json</t>
  </si>
  <si>
    <t>97570e45aaeb88abc451bf2740daa8d7be1807ed9b780dd50005fa656330c1e2</t>
  </si>
  <si>
    <t>raw/assembled/sources/r10/results/formal-xlite-E-1000.shard-15.summary.json</t>
  </si>
  <si>
    <t>8fb61fcd380014361814cca393366997973efeb5de948465374962d8780622c4</t>
  </si>
  <si>
    <t>raw/assembled/sources/r10/results/formal-xlite-E-2000.shard-0.summary.json</t>
  </si>
  <si>
    <t>4321cae7ea28d9a7a073da55bccc22e9e7900c65bc26c634df634cb1cd81bfb7</t>
  </si>
  <si>
    <t>raw/assembled/sources/r10/results/formal-xlite-E-2000.shard-1.summary.json</t>
  </si>
  <si>
    <t>af41732af5a9d49f5bef643d2bea428c1634121cfd318f2ebed6da7deec2c320</t>
  </si>
  <si>
    <t>raw/assembled/sources/r10/results/formal-xlite-E-2000.shard-2.summary.json</t>
  </si>
  <si>
    <t>3a783265a4fd85dc71c5a913d4786779788822c4367e483b90a29eeaa05086c8</t>
  </si>
  <si>
    <t>raw/assembled/sources/r10/results/formal-xlite-E-2000.shard-3.summary.json</t>
  </si>
  <si>
    <t>4974b55ff072aa6711332f7f9eb76c2b4866f692e196ede4f625f67b469ddc64</t>
  </si>
  <si>
    <t>raw/assembled/sources/r10/results/formal-xlite-E-2000.shard-4.summary.json</t>
  </si>
  <si>
    <t>4a82a0d441d5c99a3b2463ea21aa4a60e9880fb498f78d0ab8f347ac20ab45af</t>
  </si>
  <si>
    <t>raw/assembled/sources/r10/results/formal-xlite-E-2000.shard-5.summary.json</t>
  </si>
  <si>
    <t>9e3ad4e7d3bf21e9457ef2a15b96b7012513d04240b11997798c844c9a887abf</t>
  </si>
  <si>
    <t>raw/assembled/sources/r10/results/formal-xlite-E-2000.shard-6.summary.json</t>
  </si>
  <si>
    <t>5dbcbd0842abecb25c80d2921727aa779e7cba7cbb2176b57ee1dfea271e9c3d</t>
  </si>
  <si>
    <t>raw/assembled/sources/r10/results/formal-xlite-E-2000.shard-7.summary.json</t>
  </si>
  <si>
    <t>36f489a9e64642cb6a165b6a47dc9424d083c0e8cf431b8948270dbd74538592</t>
  </si>
  <si>
    <t>raw/assembled/sources/r10/results/formal-xlite-E-2000.shard-8.summary.json</t>
  </si>
  <si>
    <t>05b9996abc2bbeae815e662b3650104179cd0c65fd912f201db35a93c56d065a</t>
  </si>
  <si>
    <t>raw/assembled/sources/r10/results/formal-xlite-E-2000.shard-9.summary.json</t>
  </si>
  <si>
    <t>4a4b3d2afeac9ed0a8572e4d9f18f005ec76f074bde42e52805095ea58c2f034</t>
  </si>
  <si>
    <t>raw/assembled/sources/r10/results/formal-xlite-E-2000.shard-10.summary.json</t>
  </si>
  <si>
    <t>ee3f482d11cc424b54bb9702669c0c8010b1295f722f385ef0e74c2804b66fd5</t>
  </si>
  <si>
    <t>raw/assembled/sources/r10/results/formal-xlite-E-2000.shard-11.summary.json</t>
  </si>
  <si>
    <t>e5ad5564c878caffaa490cbaa6e5d8387fdb428f49cdcf2226941291b7dbf589</t>
  </si>
  <si>
    <t>raw/assembled/sources/r10/results/formal-xlite-E-2000.shard-12.summary.json</t>
  </si>
  <si>
    <t>c838afb80dd9ba5b26e3f924cd08cfdc06e8961e2741c5356b141aee4f8c512d</t>
  </si>
  <si>
    <t>raw/assembled/sources/r10/results/formal-xlite-E-2000.shard-13.summary.json</t>
  </si>
  <si>
    <t>62e64daaefa02e7effac74cdf469d3ff7096020123784762bb7b3146f45351f9</t>
  </si>
  <si>
    <t>raw/assembled/sources/r10/results/formal-xlite-E-2000.shard-14.summary.json</t>
  </si>
  <si>
    <t>733a2971f388bf4f69edb1610e140ab344d984edf4d7280bbc1e26a189a57c7c</t>
  </si>
  <si>
    <t>raw/assembled/sources/r10/results/formal-xlite-E-2000.shard-15.summary.json</t>
  </si>
  <si>
    <t>7de2b0176ee0ece9b82e36b40b4ca6217f67ae4e36c7874a53ca3fc09aa86815</t>
  </si>
  <si>
    <t>raw/assembled/sources/r10/results/formal-xlite-E-5000.shard-0.summary.json</t>
  </si>
  <si>
    <t>ab71114f484bcefec8c9eb61967c253008c09d2b4d31225ea1362d18784fd09b</t>
  </si>
  <si>
    <t>raw/assembled/sources/r10/results/formal-xlite-E-5000.shard-1.summary.json</t>
  </si>
  <si>
    <t>d3e3b612b3ea6062b1271631307d083096fb7377c4edf1ea58a179dbb049bfd3</t>
  </si>
  <si>
    <t>raw/assembled/sources/r10/results/formal-xlite-E-5000.shard-2.summary.json</t>
  </si>
  <si>
    <t>f370fd3aa3009049c9a155549867ac0dfa2e957e18aaaac378aea471e4138fc3</t>
  </si>
  <si>
    <t>raw/assembled/sources/r10/results/formal-xlite-E-5000.shard-3.summary.json</t>
  </si>
  <si>
    <t>5787c7dca356b69db8cff15832a22f6fef967a962ed0be499d0ed8f1deb546d4</t>
  </si>
  <si>
    <t>raw/assembled/sources/r10/results/formal-xlite-E-5000.shard-4.summary.json</t>
  </si>
  <si>
    <t>81c98a2ae7ca654d394c4421ab68f2d849b4a11a0b1c4f7d0a26693886cc8ab6</t>
  </si>
  <si>
    <t>raw/assembled/sources/r10/results/formal-xlite-E-5000.shard-5.summary.json</t>
  </si>
  <si>
    <t>60bd0b27d62f409572d537d9958e690ade9a6649a37a7d7c06fd172a4a6d47c9</t>
  </si>
  <si>
    <t>raw/assembled/sources/r10/results/formal-xlite-E-5000.shard-6.summary.json</t>
  </si>
  <si>
    <t>32a52297bdc6e99033e9e3d3881c28b904494ea3175b30fbf9629351a1d64c07</t>
  </si>
  <si>
    <t>raw/assembled/sources/r10/results/formal-xlite-E-5000.shard-7.summary.json</t>
  </si>
  <si>
    <t>c194ad31cc0d2abb573f65278b63bc86bb1cb6898b32815ac313e0149ffc982e</t>
  </si>
  <si>
    <t>raw/assembled/sources/r10/results/formal-xlite-E-5000.shard-8.summary.json</t>
  </si>
  <si>
    <t>cdbbf69312e14f50022a95ff7bb905970d48f948bf7fad976c990b5bac7eb2d6</t>
  </si>
  <si>
    <t>raw/assembled/sources/r10/results/formal-xlite-E-5000.shard-9.summary.json</t>
  </si>
  <si>
    <t>0bb8a1d5923dbbd812a28a41733500491400c24c4c05b9512b5ad929c9bac849</t>
  </si>
  <si>
    <t>raw/assembled/sources/r10/results/formal-xlite-E-5000.shard-10.summary.json</t>
  </si>
  <si>
    <t>85d284e906745ef5aa3e27cff68f61e7ac3924ecf82429e25d794e63684fbf32</t>
  </si>
  <si>
    <t>raw/assembled/sources/r10/results/formal-xlite-E-5000.shard-11.summary.json</t>
  </si>
  <si>
    <t>95e95a138b4bfe769c080bbb22037f3b6fbdb8848f5c773a049f6134cd3bca14</t>
  </si>
  <si>
    <t>raw/assembled/sources/r10/results/formal-xlite-E-5000.shard-12.summary.json</t>
  </si>
  <si>
    <t>ca66b98f6e711c5bc6e58dd1a306e30ef895bec49aca13086308f63d233a61fb</t>
  </si>
  <si>
    <t>raw/assembled/sources/r10/results/formal-xlite-E-5000.shard-13.summary.json</t>
  </si>
  <si>
    <t>80d245a1cb90705f11091f762096de349d4c90b71e608cc7605caae87ee49133</t>
  </si>
  <si>
    <t>raw/assembled/sources/r10/results/formal-xlite-E-5000.shard-14.summary.json</t>
  </si>
  <si>
    <t>ba9d175b2aa710bbb8f55060fa737b3208772855a416449035120b787f78b4f8</t>
  </si>
  <si>
    <t>raw/assembled/sources/r10/results/formal-xlite-E-5000.shard-15.summary.json</t>
  </si>
  <si>
    <t>155bafce0b7b840ca6f0cb3168e80b379d6ac3587e2783fd07593d43a46ecd41</t>
  </si>
  <si>
    <t>raw/assembled/sources/r10/results/formal-xlite-E-10000.shard-0.summary.json</t>
  </si>
  <si>
    <t>0072a533d46951cc0eb71e39da6252016f77eedcdb07230afe83fc4a263eb92b</t>
  </si>
  <si>
    <t>raw/assembled/sources/r10/results/formal-xlite-E-10000.shard-1.summary.json</t>
  </si>
  <si>
    <t>61b6c9dda5adfaa87abb5ab137d0f80211866b895648a3aeeda2dd212e7fec18</t>
  </si>
  <si>
    <t>raw/assembled/sources/r10/results/formal-xlite-E-10000.shard-2.summary.json</t>
  </si>
  <si>
    <t>b1fb0987dc81b9d01edce59083e224089da6c30581dfe479331d5d1732086f5b</t>
  </si>
  <si>
    <t>raw/assembled/sources/r10/results/formal-xlite-E-10000.shard-3.summary.json</t>
  </si>
  <si>
    <t>c2889984948c46bc30c660665c7fd1cf9f635c4f1d772489c1b733acabb3cab0</t>
  </si>
  <si>
    <t>raw/assembled/sources/r10/results/formal-xlite-E-10000.shard-4.summary.json</t>
  </si>
  <si>
    <t>ccf7606f798c881e6072c377150dd9df280def36c14d0c09b96352a2ef5ad3cb</t>
  </si>
  <si>
    <t>raw/assembled/sources/r10/results/formal-xlite-E-10000.shard-5.summary.json</t>
  </si>
  <si>
    <t>4c7337b0587679cfd940df31e59987c10dd41b3ae172fc05711f4d04a11b0b74</t>
  </si>
  <si>
    <t>raw/assembled/sources/r10/results/formal-xlite-E-10000.shard-6.summary.json</t>
  </si>
  <si>
    <t>25b42db9ba92bb8ae489166a4645bad1de5ab5a1e0c6fa447e9d566c7a2af024</t>
  </si>
  <si>
    <t>raw/assembled/sources/r10/results/formal-xlite-E-10000.shard-7.summary.json</t>
  </si>
  <si>
    <t>6ac44ded5f77197560cefc1110211220a903683319a66d4f9ad95cb67dfb779d</t>
  </si>
  <si>
    <t>raw/assembled/sources/r10/results/formal-xlite-E-10000.shard-8.summary.json</t>
  </si>
  <si>
    <t>2d1d6f268266ea7cc383927a7a47c4506d19e68c3094333a12945cf68e1f649e</t>
  </si>
  <si>
    <t>raw/assembled/sources/r10/results/formal-xlite-E-10000.shard-9.summary.json</t>
  </si>
  <si>
    <t>74de984a8fc17dcc3111a6abed9ccdd2f3769378bd7d78a0c19c3afdca408e05</t>
  </si>
  <si>
    <t>raw/assembled/sources/r10/results/formal-xlite-E-10000.shard-10.summary.json</t>
  </si>
  <si>
    <t>f48ea987a02d57d0d39f2f524f5a26cbed4c30ccdbbd00567070b43e66e6a153</t>
  </si>
  <si>
    <t>raw/assembled/sources/r10/results/formal-xlite-E-10000.shard-11.summary.json</t>
  </si>
  <si>
    <t>6ac29547acd00e677f9ee7985341223da515d1120de50f1b9e36bf8ee22ef0a6</t>
  </si>
  <si>
    <t>raw/assembled/sources/r10/results/formal-xlite-E-10000.shard-12.summary.json</t>
  </si>
  <si>
    <t>86d003d2ad4f088dcbde354cbc7a856a947898e930c7cd9df879fd53de37421a</t>
  </si>
  <si>
    <t>raw/assembled/sources/r10/results/formal-xlite-E-10000.shard-13.summary.json</t>
  </si>
  <si>
    <t>5d99e6d407556f8fc398d697644a2dc978326f968a4f7cc32ef46beb16f5b100</t>
  </si>
  <si>
    <t>raw/assembled/sources/r10/results/formal-xlite-E-10000.shard-14.summary.json</t>
  </si>
  <si>
    <t>ff16dfa57f472acce461dab86f1eeb5cbfbc4cbc83762fb6109ea6c4452837d6</t>
  </si>
  <si>
    <t>raw/assembled/sources/r10/results/formal-xlite-E-10000.shard-15.summary.json</t>
  </si>
  <si>
    <t>b3507ffad49f3b815df0de6b80c1f7bfba2bee899c2599e174bb83d482f7ad06</t>
  </si>
  <si>
    <t>raw/assembled/sources/r10/results/formal-xlite-E-15000.shard-0.summary.json</t>
  </si>
  <si>
    <t>ab50cacd87d9f19f7ef77a6cfa3cb04432488b1cbb0f98688203e6c214ed7f32</t>
  </si>
  <si>
    <t>raw/assembled/sources/r10/results/formal-xlite-E-15000.shard-1.summary.json</t>
  </si>
  <si>
    <t>740223eee446e11de192581b0603a60bee9d0c793352fce9dee20d3cf352af16</t>
  </si>
  <si>
    <t>raw/assembled/sources/r10/results/formal-xlite-E-15000.shard-2.summary.json</t>
  </si>
  <si>
    <t>a51cad591bfd14501c084367991d18591e37cdab573de792036d6b07490b1a65</t>
  </si>
  <si>
    <t>raw/assembled/sources/r10/results/formal-xlite-E-15000.shard-3.summary.json</t>
  </si>
  <si>
    <t>7d6ae7e2fa6c15d0bfa2fd5999485b94803e342e330b9eb0fc7fb9db6d63cfbf</t>
  </si>
  <si>
    <t>raw/assembled/sources/r10/results/formal-xlite-E-15000.shard-4.summary.json</t>
  </si>
  <si>
    <t>c5074b2bea42e6566cc02f8a46e6825eba60ab0f4a1b6f17c60a31198c5020d2</t>
  </si>
  <si>
    <t>raw/assembled/sources/r10/results/formal-xlite-E-15000.shard-5.summary.json</t>
  </si>
  <si>
    <t>5dab3afcfc73ede8ab8c63717973359eb4f7bad487e83539708bb34119e834c6</t>
  </si>
  <si>
    <t>raw/assembled/sources/r10/results/formal-xlite-E-15000.shard-6.summary.json</t>
  </si>
  <si>
    <t>2c8639621ea33cc5fdaa88b12cadf0498af8bf7694046a81654772590af1f70f</t>
  </si>
  <si>
    <t>raw/assembled/sources/r10/results/formal-xlite-E-15000.shard-7.summary.json</t>
  </si>
  <si>
    <t>46eba172985628a529b988682f95c2b1ea22e2e5e1328646877f3b8368455f68</t>
  </si>
  <si>
    <t>raw/assembled/sources/r10/results/formal-xlite-E-15000.shard-8.summary.json</t>
  </si>
  <si>
    <t>0cad34ee42dcab07e1fde6c5d8b3da79a099dfe29ac6113033044e8ed65dcc8b</t>
  </si>
  <si>
    <t>raw/assembled/sources/r10/results/formal-xlite-E-15000.shard-9.summary.json</t>
  </si>
  <si>
    <t>c530e1abccd658a7445e955d765aafe23061ddb65eab15a31cf3691b6cabe24b</t>
  </si>
  <si>
    <t>raw/assembled/sources/r10/results/formal-xlite-E-15000.shard-10.summary.json</t>
  </si>
  <si>
    <t>2697d9d4846d7a182f348dea1ea07a2cc47164656d3f7205969510a658a58b56</t>
  </si>
  <si>
    <t>raw/assembled/sources/r10/results/formal-xlite-E-15000.shard-11.summary.json</t>
  </si>
  <si>
    <t>a23b80f2391f6eb25ae7cb326dfa880f2ca3b1502115dd3f847a75e56f872e28</t>
  </si>
  <si>
    <t>raw/assembled/sources/r10/results/formal-xlite-E-15000.shard-12.summary.json</t>
  </si>
  <si>
    <t>0e819c407a08166063d9ec55755e8501f6d212da86c64d094c179dbebc429bb9</t>
  </si>
  <si>
    <t>raw/assembled/sources/r10/results/formal-xlite-E-15000.shard-13.summary.json</t>
  </si>
  <si>
    <t>d094661f1c26f307f8d518b2f4c8317d65b06a380994fb5047979540f7c9627e</t>
  </si>
  <si>
    <t>raw/assembled/sources/r10/results/formal-xlite-E-15000.shard-14.summary.json</t>
  </si>
  <si>
    <t>f3516411d0a9551bff5663b652d907b793e1a60e94bd98f15b6318e9d409b3b9</t>
  </si>
  <si>
    <t>raw/assembled/sources/r10/results/formal-xlite-E-15000.shard-15.summary.json</t>
  </si>
  <si>
    <t>d10ea3a42c9f939192ff0a7d9e6ade3c82d30531268c783a6f8f3339094bfadd</t>
  </si>
  <si>
    <t>raw/assembled/sources/r10/results/formal-xlite-E-18000.shard-0.summary.json</t>
  </si>
  <si>
    <t>73e685922ef44a9a321744b658935dd56f83bf43b6cfad50ea7ccbc3ee81bb4b</t>
  </si>
  <si>
    <t>raw/assembled/sources/r10/results/formal-xlite-E-18000.shard-1.summary.json</t>
  </si>
  <si>
    <t>b0dbe96953a7dc5a7208cca639c99cb5ba0fb15fa46c8bb7e9a5f179a210f71a</t>
  </si>
  <si>
    <t>raw/assembled/sources/r10/results/formal-xlite-E-18000.shard-2.summary.json</t>
  </si>
  <si>
    <t>b22802cde6bb4045d49aa103ef5dcdf295fcf9c985be8b8ce8ca24652d84f987</t>
  </si>
  <si>
    <t>raw/assembled/sources/r10/results/formal-xlite-E-18000.shard-3.summary.json</t>
  </si>
  <si>
    <t>2b6db344c2bbefb264c48a9c91ea66cfc27527409c5c139570e59985c965e627</t>
  </si>
  <si>
    <t>raw/assembled/sources/r10/results/formal-xlite-E-18000.shard-4.summary.json</t>
  </si>
  <si>
    <t>c58d54bfa7b4b87afb7d13b0895c232cc4cd573550c45dd62d6787e77491e378</t>
  </si>
  <si>
    <t>raw/assembled/sources/r10/results/formal-xlite-E-18000.shard-5.summary.json</t>
  </si>
  <si>
    <t>2cf60dbaf71c55fbcb13d010762f2fd2d4fc9fb5d1a42e4af784582141ee8790</t>
  </si>
  <si>
    <t>raw/assembled/sources/r10/results/formal-xlite-E-18000.shard-6.summary.json</t>
  </si>
  <si>
    <t>947985878fd95d718aa13c3414ba64e88663556d169588dbcc58bf5340d9b7c4</t>
  </si>
  <si>
    <t>raw/assembled/sources/r10/results/formal-xlite-E-18000.shard-7.summary.json</t>
  </si>
  <si>
    <t>63e3bfdd26d68aa10eeefd0005bc7f978cd40e8677c2b587c29e22bfd9dd8497</t>
  </si>
  <si>
    <t>raw/assembled/sources/r10/results/formal-xlite-E-18000.shard-8.summary.json</t>
  </si>
  <si>
    <t>259b58a0444b4b3228857352bed99814ce3916be30a8fa7f1e0acadd3ae62827</t>
  </si>
  <si>
    <t>raw/assembled/sources/r10/results/formal-xlite-E-18000.shard-9.summary.json</t>
  </si>
  <si>
    <t>f9f20cfb4e18781cb79d55774ba97cb4e511c78d4abcd7116174867f904840ac</t>
  </si>
  <si>
    <t>raw/assembled/sources/r10/results/formal-xlite-E-18000.shard-10.summary.json</t>
  </si>
  <si>
    <t>883481e44b36fa398edb613ea81de2de2f0a4ef6a7425275f9f64cc0a5cd9e6b</t>
  </si>
  <si>
    <t>raw/assembled/sources/r10/results/formal-xlite-E-18000.shard-11.summary.json</t>
  </si>
  <si>
    <t>057b7e588ec54b0dcf787771237a0938fa67e271d3e84173638a76d90d724518</t>
  </si>
  <si>
    <t>raw/assembled/sources/r10/results/formal-xlite-E-18000.shard-12.summary.json</t>
  </si>
  <si>
    <t>a4b7e5c3b502ffa287d0dba7620b980d40937c15fa0d6e8f36d3d2eb3e4a31e0</t>
  </si>
  <si>
    <t>raw/assembled/sources/r10/results/formal-xlite-E-18000.shard-13.summary.json</t>
  </si>
  <si>
    <t>1cc3f38c2510e97c83c845072f3fa3f502753ac18da309881d217c16fa4815c2</t>
  </si>
  <si>
    <t>raw/assembled/sources/r10/results/formal-xlite-E-18000.shard-14.summary.json</t>
  </si>
  <si>
    <t>b08bf796f6f697e16346e7986b5e645a3e98a95b1225f057d87c7a511edffee7</t>
  </si>
  <si>
    <t>raw/assembled/sources/r10/results/formal-xlite-E-18000.shard-15.summary.json</t>
  </si>
  <si>
    <t>21e177d76c77314da459a45b2f1f5175f39314c1091951801934ff37a78493e7</t>
  </si>
  <si>
    <t>raw/assembled/sources/r10/results/formal-xlite-B-1000.shard-0.summary.json</t>
  </si>
  <si>
    <t>626fd88785afb991b12b547015af618011043a43518769ec6a3a743210d49b36</t>
  </si>
  <si>
    <t>raw/assembled/sources/r10/results/formal-xlite-B-1000.shard-1.summary.json</t>
  </si>
  <si>
    <t>a36d64460672e4f92c1c52ae0d0cee3337b59d956936af47ad675880cb15d2db</t>
  </si>
  <si>
    <t>raw/assembled/sources/r10/results/formal-xlite-B-1000.shard-2.summary.json</t>
  </si>
  <si>
    <t>0119ec1f83fa7c3166ae63ad0347956a748aa93e0bb5adb581ed1ffc50d7c223</t>
  </si>
  <si>
    <t>raw/assembled/sources/r10/results/formal-xlite-B-1000.shard-3.summary.json</t>
  </si>
  <si>
    <t>09eda7ecd72e9e04e60bd7387ea22a9abce24c9d8da89d329a92799fc5e5b18e</t>
  </si>
  <si>
    <t>raw/assembled/sources/r10/results/formal-xlite-B-1000.shard-4.summary.json</t>
  </si>
  <si>
    <t>b3530b9835fc917fdd4733cd5f0955f979ea6a7bb603df878c857a6d781224f6</t>
  </si>
  <si>
    <t>raw/assembled/sources/r10/results/formal-xlite-B-1000.shard-5.summary.json</t>
  </si>
  <si>
    <t>7ec6f3868593278538f42e0632041abbd1ff8130123feb8c9763be509da3f9f6</t>
  </si>
  <si>
    <t>raw/assembled/sources/r10/results/formal-xlite-B-1000.shard-6.summary.json</t>
  </si>
  <si>
    <t>287b1026c4105dde341469680a8f35f19df7b8ff1fe3d4b5812dbad70eb371c6</t>
  </si>
  <si>
    <t>raw/assembled/sources/r10/results/formal-xlite-B-1000.shard-7.summary.json</t>
  </si>
  <si>
    <t>93c3f571a41ea1def4b36b5af0656a2e210a130de866322e776ec54d73a51d49</t>
  </si>
  <si>
    <t>raw/assembled/sources/r10/results/formal-xlite-B-1000.shard-8.summary.json</t>
  </si>
  <si>
    <t>b03245680378fbf69670198cb19235bea2804ebb9e78cf269a24335d7a16e60f</t>
  </si>
  <si>
    <t>raw/assembled/sources/r10/results/formal-xlite-B-1000.shard-9.summary.json</t>
  </si>
  <si>
    <t>d7c9b801c1da3a045576bfecb32dc96477d13c2dc7739cdfc3d0a0734f9171f2</t>
  </si>
  <si>
    <t>raw/assembled/sources/r10/results/formal-xlite-B-1000.shard-10.summary.json</t>
  </si>
  <si>
    <t>410d2e7560f9a658c134e23b3786bab6665307d15b515b71323695b870f056b3</t>
  </si>
  <si>
    <t>raw/assembled/sources/r10/results/formal-xlite-B-1000.shard-11.summary.json</t>
  </si>
  <si>
    <t>060477bb1a2d8956c003d5bc0d8d4bd562f7707373b1f76f5cb329d39cb506a4</t>
  </si>
  <si>
    <t>raw/assembled/sources/r10/results/formal-xlite-B-1000.shard-12.summary.json</t>
  </si>
  <si>
    <t>aa3425235da5b5223bcf490f00d5dbba35fb1bd200e4b60f1e2c4fdc75d260f8</t>
  </si>
  <si>
    <t>raw/assembled/sources/r10/results/formal-xlite-B-1000.shard-13.summary.json</t>
  </si>
  <si>
    <t>067ae92f5fc6520224408dca023aad7eddb64dd2b7ae51433bb247b1fdbc85c4</t>
  </si>
  <si>
    <t>raw/assembled/sources/r10/results/formal-xlite-B-1000.shard-14.summary.json</t>
  </si>
  <si>
    <t>ad6ef73143d9a54b9930bc0af828e693762243a657eb9242385d8baa1a8ec239</t>
  </si>
  <si>
    <t>raw/assembled/sources/r10/results/formal-xlite-B-1000.shard-15.summary.json</t>
  </si>
  <si>
    <t>a61a5a6a607fc1b533cd7ac746c8dd9a692c6e00763a7c1766471e2bac67af26</t>
  </si>
  <si>
    <t>raw/assembled/sources/r10/results/formal-xlite-B-2000.shard-0.summary.json</t>
  </si>
  <si>
    <t>d86d07642e6db59f4e45eaffc0ef9fb0256f49b400f548e7006cc60e453f7514</t>
  </si>
  <si>
    <t>raw/assembled/sources/r10/results/formal-xlite-B-2000.shard-1.summary.json</t>
  </si>
  <si>
    <t>08a828f645275f0e2bac495e7d5b32fa5c46399040499dd1ba7a705189164ed3</t>
  </si>
  <si>
    <t>raw/assembled/sources/r10/results/formal-xlite-B-2000.shard-2.summary.json</t>
  </si>
  <si>
    <t>b3e3eb63f213a2a9f8bb97efba6a04e94a66e1b84bad3f54aa25078dee373211</t>
  </si>
  <si>
    <t>raw/assembled/sources/r10/results/formal-xlite-B-2000.shard-3.summary.json</t>
  </si>
  <si>
    <t>fef4626ea7afaacf212b88b272f1a796ab7c24487b0d4939b182d353ec45b372</t>
  </si>
  <si>
    <t>raw/assembled/sources/r10/results/formal-xlite-B-2000.shard-4.summary.json</t>
  </si>
  <si>
    <t>0ada59478c92cc1223c1f336a997793aa438339caced0533e8a468e3cda2a7c7</t>
  </si>
  <si>
    <t>raw/assembled/sources/r10/results/formal-xlite-B-2000.shard-5.summary.json</t>
  </si>
  <si>
    <t>9d87084b7e78fc56042409b1787bfce662f59f8dea919b7afbec6cb54245d7f9</t>
  </si>
  <si>
    <t>raw/assembled/sources/r10/results/formal-xlite-B-2000.shard-6.summary.json</t>
  </si>
  <si>
    <t>1248e4409efa7c8c95687d56e6775721c3ee2d67bc503f565ca52bff5dec8fa5</t>
  </si>
  <si>
    <t>raw/assembled/sources/r10/results/formal-xlite-B-2000.shard-7.summary.json</t>
  </si>
  <si>
    <t>71f23bcb499c6aefd9ae157a97bb3afdb88cd740c96aa76924ed3b63ffc6d5ea</t>
  </si>
  <si>
    <t>raw/assembled/sources/r10/results/formal-xlite-B-2000.shard-8.summary.json</t>
  </si>
  <si>
    <t>1b06c8f1209b7a7375ce4d98600bf1c463ab06a36ffdda28fa053efe7a2cc9e2</t>
  </si>
  <si>
    <t>raw/assembled/sources/r10/results/formal-xlite-B-2000.shard-9.summary.json</t>
  </si>
  <si>
    <t>911db1a905d206ace22b716f99ec7ec860aff102ddcb832015134edde491560c</t>
  </si>
  <si>
    <t>raw/assembled/sources/r10/results/formal-xlite-B-2000.shard-10.summary.json</t>
  </si>
  <si>
    <t>188f26ee044ff66ca0647e1c805e9d3fa79a1632f55c6ba5bfbfb2da01bb2dd3</t>
  </si>
  <si>
    <t>raw/assembled/sources/r10/results/formal-xlite-B-2000.shard-11.summary.json</t>
  </si>
  <si>
    <t>23237e072305091ae08316c0252a30de8a24e276458e51fd2eefc26e441f07ab</t>
  </si>
  <si>
    <t>raw/assembled/sources/r10/results/formal-xlite-B-2000.shard-12.summary.json</t>
  </si>
  <si>
    <t>9342a9bfdb3983a495a0de8a049573c4ebefca7b0b79fab7a31c03312c1df16b</t>
  </si>
  <si>
    <t>raw/assembled/sources/r10/results/formal-xlite-B-2000.shard-13.summary.json</t>
  </si>
  <si>
    <t>b8aa4b601ec0d84d7f680fcbf740cbef19ac62805da6a8238fc8d03ceaaaee07</t>
  </si>
  <si>
    <t>raw/assembled/sources/r10/results/formal-xlite-B-2000.shard-14.summary.json</t>
  </si>
  <si>
    <t>249355710b12a1cd0b7353a1da5a40f443431ac8b213996cae7a7af923422940</t>
  </si>
  <si>
    <t>raw/assembled/sources/r10/results/formal-xlite-B-2000.shard-15.summary.json</t>
  </si>
  <si>
    <t>35a55bd44ab11cff3326b82b1a8dc81c3f1e627d93f2cfd973739161cf21a9aa</t>
  </si>
  <si>
    <t>raw/assembled/sources/r10/results/formal-xlite-B-5000.shard-0.summary.json</t>
  </si>
  <si>
    <t>a6126a3c22cb3fb820f10bc881fd33a71bfece077c5d346028b42c7215811e0e</t>
  </si>
  <si>
    <t>raw/assembled/sources/r10/results/formal-xlite-B-5000.shard-1.summary.json</t>
  </si>
  <si>
    <t>0de4fba1b21e158f5a96dc0fea4e32b8eb7f9cc57c7537bf9c5a75877b294a03</t>
  </si>
  <si>
    <t>raw/assembled/sources/r10/results/formal-xlite-B-5000.shard-2.summary.json</t>
  </si>
  <si>
    <t>ced36d9e0548fa1fde4588de1cbdf451addb7d582be1b9914b0e7f8ccf1fc609</t>
  </si>
  <si>
    <t>raw/assembled/sources/r10/results/formal-xlite-B-5000.shard-3.summary.json</t>
  </si>
  <si>
    <t>d330ed78ec4055f0d30cdb0ee28ba11f8f92ebd1f47e93ea5ff4447d3a20f8f8</t>
  </si>
  <si>
    <t>raw/assembled/sources/r10/results/formal-xlite-B-5000.shard-4.summary.json</t>
  </si>
  <si>
    <t>ece97fb685e6b9ecd079176a8bb47b2ad6466f31fee1424747e158e7bdd8cb35</t>
  </si>
  <si>
    <t>raw/assembled/sources/r10/results/formal-xlite-B-5000.shard-5.summary.json</t>
  </si>
  <si>
    <t>76e191153ee0dc938c3a922365fda228fca4ae569977d88f7e0a041c9c8eded0</t>
  </si>
  <si>
    <t>raw/assembled/sources/r10/results/formal-xlite-B-5000.shard-6.summary.json</t>
  </si>
  <si>
    <t>c7241d95b48d51a1ee5d955802ec5ffa95f8e00015849b865891d9a53c5522fc</t>
  </si>
  <si>
    <t>raw/assembled/sources/r10/results/formal-xlite-B-5000.shard-7.summary.json</t>
  </si>
  <si>
    <t>ca9ea0208f9b6bc947bd25ae9dfc72ab93083e53b68835a782428aae35c2086e</t>
  </si>
  <si>
    <t>raw/assembled/sources/r10/results/formal-xlite-B-5000.shard-8.summary.json</t>
  </si>
  <si>
    <t>de90a3ba85d4ce8c34888f90b0dffbdcad77a4daf32c4ef71a1c141a4f7dcdde</t>
  </si>
  <si>
    <t>raw/assembled/sources/r10/results/formal-xlite-B-5000.shard-9.summary.json</t>
  </si>
  <si>
    <t>e21ec4d8eefcf68588844a595f2a7f431732a0a8990b28875f34e3d2ee6a0993</t>
  </si>
  <si>
    <t>raw/assembled/sources/r10/results/formal-xlite-B-5000.shard-10.summary.json</t>
  </si>
  <si>
    <t>05bb25c29666acd7d3cc162705e353c64ebd1230bce25575104c358be19507d9</t>
  </si>
  <si>
    <t>raw/assembled/sources/r10/results/formal-xlite-B-5000.shard-11.summary.json</t>
  </si>
  <si>
    <t>d7ff4eddccc164518e69722ad198be04d7c6271614842c8e5a8f7fae6c5eb8f0</t>
  </si>
  <si>
    <t>raw/assembled/sources/r10/results/formal-xlite-B-5000.shard-12.summary.json</t>
  </si>
  <si>
    <t>2e1e367b89719c9ef4b5440b317123772e29f648fe10569c3e27edbef3a9bb58</t>
  </si>
  <si>
    <t>raw/assembled/sources/r10/results/formal-xlite-B-5000.shard-13.summary.json</t>
  </si>
  <si>
    <t>88a466039936ffe88eb3eef89053dc34a20a5bb9a04fd238ffde410ec5f8666c</t>
  </si>
  <si>
    <t>raw/assembled/sources/r10/results/formal-xlite-B-5000.shard-14.summary.json</t>
  </si>
  <si>
    <t>ff19569e1969ae651890e8fd8d05127d92199afbb805ad52d09544f3f0aea0be</t>
  </si>
  <si>
    <t>raw/assembled/sources/r10/results/formal-xlite-B-5000.shard-15.summary.json</t>
  </si>
  <si>
    <t>893f4133a793625e4e28bc1329977a5527b1a25faaa589dc86a5f4f5ee811ac8</t>
  </si>
  <si>
    <t>raw/assembled/sources/r10/results/formal-xlite-B-10000.shard-0.summary.json</t>
  </si>
  <si>
    <t>454c2e66b2ff50165d2ff9e098acfc49cc3cd00290bd47709e0980f1df53dbb9</t>
  </si>
  <si>
    <t>raw/assembled/sources/r10/results/formal-xlite-B-10000.shard-1.summary.json</t>
  </si>
  <si>
    <t>b546f2d56b4dfa12f93c5bea2adc21d666208b427efda064dcbac90bc1e8655e</t>
  </si>
  <si>
    <t>raw/assembled/sources/r10/results/formal-xlite-B-10000.shard-2.summary.json</t>
  </si>
  <si>
    <t>534eb255d36da7057d5aab2ec01fb158eb25dd0769a05bd387d1cb9f56953972</t>
  </si>
  <si>
    <t>raw/assembled/sources/r10/results/formal-xlite-B-10000.shard-3.summary.json</t>
  </si>
  <si>
    <t>b2ae44c574edaa940ca799c1f6d0ca0f7bf26d5b3f0686a873b020080700bd37</t>
  </si>
  <si>
    <t>raw/assembled/sources/r10/results/formal-xlite-B-10000.shard-4.summary.json</t>
  </si>
  <si>
    <t>a209d5e1b8b0155486c3a92614c17162dd02c8f4da222b2cc74f6306664a6ecf</t>
  </si>
  <si>
    <t>raw/assembled/sources/r10/results/formal-xlite-B-10000.shard-5.summary.json</t>
  </si>
  <si>
    <t>a5a6d359502c4732e24467cbb3e4707f166eaaa0e93d5381a516417fb577d351</t>
  </si>
  <si>
    <t>raw/assembled/sources/r10/results/formal-xlite-B-10000.shard-6.summary.json</t>
  </si>
  <si>
    <t>d70ff45ec0db8f2da646140cbbf5d2198e15c184e5d07e976e6782147d3a2741</t>
  </si>
  <si>
    <t>raw/assembled/sources/r10/results/formal-xlite-B-10000.shard-7.summary.json</t>
  </si>
  <si>
    <t>cb16168cf700e65e529ad1982aab8ca0ef66007715376ecf8c3f1f5c307f4a13</t>
  </si>
  <si>
    <t>raw/assembled/sources/r10/results/formal-xlite-B-10000.shard-8.summary.json</t>
  </si>
  <si>
    <t>87d37315d68c70f760f36da2a702a229e6663b61361e6b43beb135312d9c9ef2</t>
  </si>
  <si>
    <t>raw/assembled/sources/r10/results/formal-xlite-B-10000.shard-9.summary.json</t>
  </si>
  <si>
    <t>bd3171dd34263fd3c2948b324446d37105f349ffb7b149623928289b46d91959</t>
  </si>
  <si>
    <t>raw/assembled/sources/r10/results/formal-xlite-B-10000.shard-10.summary.json</t>
  </si>
  <si>
    <t>d66f3d696e8d65a66bc147bcf06d52237edaab31ca3dbc73e1cef5ed8e1bd856</t>
  </si>
  <si>
    <t>raw/assembled/sources/r10/results/formal-xlite-B-10000.shard-11.summary.json</t>
  </si>
  <si>
    <t>8b64464efccb9b17b390149bcab93812bdd1d7e6d91513026775b6018bf4f59f</t>
  </si>
  <si>
    <t>raw/assembled/sources/r10/results/formal-xlite-B-10000.shard-12.summary.json</t>
  </si>
  <si>
    <t>195c291ff971628ae90507f64deafaf41ad417094d5cdc402d3b7bb98a044b16</t>
  </si>
  <si>
    <t>raw/assembled/sources/r10/results/formal-xlite-B-10000.shard-13.summary.json</t>
  </si>
  <si>
    <t>1d8e742e99c82a00e16af24c6acaf970181051c74836fc43fc7e9bb51bab9e17</t>
  </si>
  <si>
    <t>raw/assembled/sources/r10/results/formal-xlite-B-10000.shard-14.summary.json</t>
  </si>
  <si>
    <t>fa4cce990ab55255932115f70678eee9f251da9dfbf5764775ede36e5d705997</t>
  </si>
  <si>
    <t>raw/assembled/sources/r10/results/formal-xlite-B-10000.shard-15.summary.json</t>
  </si>
  <si>
    <t>fc11ae98adb6ff76f20a09d80cffe055d8da04aa91fe58b02ffdefc3e416a81a</t>
  </si>
  <si>
    <t>raw/assembled/sources/r10/results/formal-xlite-B-15000.shard-0.summary.json</t>
  </si>
  <si>
    <t>2c39391b060f463238bfb594d0b7e46d799b22cbfc250affa3fc84e8532adf56</t>
  </si>
  <si>
    <t>raw/assembled/sources/r10/results/formal-xlite-B-15000.shard-1.summary.json</t>
  </si>
  <si>
    <t>35a152b98e5bd7bf1ea9b4aef083ea9c62db24888da1de3065e5c16e5c6a53e5</t>
  </si>
  <si>
    <t>raw/assembled/sources/r10/results/formal-xlite-B-15000.shard-2.summary.json</t>
  </si>
  <si>
    <t>c734c8f28c2926ad1d268568e542e24fd55f9a2f2c20d1a6bb7e982c31a31238</t>
  </si>
  <si>
    <t>raw/assembled/sources/r10/results/formal-xlite-B-15000.shard-3.summary.json</t>
  </si>
  <si>
    <t>2e55ad67bb741111b3f93571458be4d305fdf81c3d299506bce9a8b156a3adbd</t>
  </si>
  <si>
    <t>raw/assembled/sources/r10/results/formal-xlite-B-15000.shard-4.summary.json</t>
  </si>
  <si>
    <t>0395b201653b250cb02fdf61255e4614628117244d2d346a8f1421ce8577dbe3</t>
  </si>
  <si>
    <t>raw/assembled/sources/r10/results/formal-xlite-B-15000.shard-5.summary.json</t>
  </si>
  <si>
    <t>7b445a9775b4c2bd0718e9df63dd48bb31f16a7c1726b01c74272c3e944fe3d8</t>
  </si>
  <si>
    <t>raw/assembled/sources/r10/results/formal-xlite-B-15000.shard-6.summary.json</t>
  </si>
  <si>
    <t>5975d8fc1f573a14b0e70d23b7f0070d3a92950ce7131ae832488a247b39b9e1</t>
  </si>
  <si>
    <t>raw/assembled/sources/r10/results/formal-xlite-B-15000.shard-7.summary.json</t>
  </si>
  <si>
    <t>f6f37a38be2680dfe65d5aced2576e9724ee66a6ce1b2b7abff173f6bf3879da</t>
  </si>
  <si>
    <t>raw/assembled/sources/r10/results/formal-xlite-B-15000.shard-8.summary.json</t>
  </si>
  <si>
    <t>69727bf0119bbf3be1582b15c221970e41e8f8898010513a74c0632e5cc3f8ca</t>
  </si>
  <si>
    <t>raw/assembled/sources/r10/results/formal-xlite-B-15000.shard-9.summary.json</t>
  </si>
  <si>
    <t>f621df2465b81d651e018e34b9ad957dd4213220d5ed6470351c6ec411c6f3d8</t>
  </si>
  <si>
    <t>raw/assembled/sources/r10/results/formal-xlite-B-15000.shard-10.summary.json</t>
  </si>
  <si>
    <t>ad7c731a68af805bd85e10dd49c257700b592d8b268d4897e6a242d9852d4f3d</t>
  </si>
  <si>
    <t>raw/assembled/sources/r10/results/formal-xlite-B-15000.shard-11.summary.json</t>
  </si>
  <si>
    <t>7f0e75fcae0d7137e5a54c87b4875fd122ed72d26f9f0ff2ba6ca69f36ae7379</t>
  </si>
  <si>
    <t>raw/assembled/sources/r10/results/formal-xlite-B-15000.shard-12.summary.json</t>
  </si>
  <si>
    <t>36b9914b96368454e63bd0c2ef42a47200998215c57dfe67287aece6a4cdd7ad</t>
  </si>
  <si>
    <t>raw/assembled/sources/r10/results/formal-xlite-B-15000.shard-13.summary.json</t>
  </si>
  <si>
    <t>472888409bb06fff07c091cf81e9856c0a1624c64db636f7ce2803ac03e0a725</t>
  </si>
  <si>
    <t>raw/assembled/sources/r10/results/formal-xlite-B-15000.shard-14.summary.json</t>
  </si>
  <si>
    <t>2bedff7b4215f9823dec156f51b91fdfe85e55506e04d3044d0a8ca6ff896ff8</t>
  </si>
  <si>
    <t>raw/assembled/sources/r10/results/formal-xlite-B-15000.shard-15.summary.json</t>
  </si>
  <si>
    <t>50adfe92f93111778b5f84f4f6c01eee7dc9ebff951c3e3a44bfc8b2903b10d3</t>
  </si>
  <si>
    <t>raw/assembled/sources/r10/results/formal-xlite-B-18000.shard-0.summary.json</t>
  </si>
  <si>
    <t>e7832ef9205c8f10cc781de6f2e14fab6f5e5722167ae0478920e03db7d73d0a</t>
  </si>
  <si>
    <t>raw/assembled/sources/r10/results/formal-xlite-B-18000.shard-1.summary.json</t>
  </si>
  <si>
    <t>182cfcaff012e778940855edfd14b4dadc625ab92de9929b8ad1eac7e5a8f2ea</t>
  </si>
  <si>
    <t>raw/assembled/sources/r10/results/formal-xlite-B-18000.shard-2.summary.json</t>
  </si>
  <si>
    <t>041df7a0721c26e75b86f6c0eae40a87879d53ed6efa1a10d0796f5f4432ce29</t>
  </si>
  <si>
    <t>raw/assembled/sources/r10/results/formal-xlite-B-18000.shard-3.summary.json</t>
  </si>
  <si>
    <t>44165b8d2fe7fe654301d4e73eb1bf04c73f1c457378f83fa270db2f07f31622</t>
  </si>
  <si>
    <t>raw/assembled/sources/r10/results/formal-xlite-B-18000.shard-4.summary.json</t>
  </si>
  <si>
    <t>ef504c89cdebb6e4c2e9164031941ed4362eec48d6fcca3902d90dfd7ed3be02</t>
  </si>
  <si>
    <t>raw/assembled/sources/r10/results/formal-xlite-B-18000.shard-5.summary.json</t>
  </si>
  <si>
    <t>721c8c213c985d9efe8371b3d81f918d76a6fe24f1e5ee394bed858848483ae6</t>
  </si>
  <si>
    <t>raw/assembled/sources/r10/results/formal-xlite-B-18000.shard-6.summary.json</t>
  </si>
  <si>
    <t>a9a1ea32175ae077c887b8023d868cb675ff6f9510b748f98f8989de450ee7e4</t>
  </si>
  <si>
    <t>raw/assembled/sources/r10/results/formal-xlite-B-18000.shard-7.summary.json</t>
  </si>
  <si>
    <t>2edf5eb9b087359dbf2cf93f96baa4a9d37a6fab17ae877921c1bd7009fc1d32</t>
  </si>
  <si>
    <t>raw/assembled/sources/r10/results/formal-xlite-B-18000.shard-8.summary.json</t>
  </si>
  <si>
    <t>422aed4d46be9a285520bd157bda03eaf13b4e295c04a669a4f4d1c45f262c86</t>
  </si>
  <si>
    <t>raw/assembled/sources/r10/results/formal-xlite-B-18000.shard-9.summary.json</t>
  </si>
  <si>
    <t>a3f4983dfc74d3f78ded04b3da7d98d8636fb9a76b5422ea703b577d8d9223a0</t>
  </si>
  <si>
    <t>raw/assembled/sources/r10/results/formal-xlite-B-18000.shard-10.summary.json</t>
  </si>
  <si>
    <t>dc19193b09ebe7f579a2d16565de4c025c7d8bcef923deb210ca3b12340e464d</t>
  </si>
  <si>
    <t>raw/assembled/sources/r10/results/formal-xlite-B-18000.shard-11.summary.json</t>
  </si>
  <si>
    <t>1d2989b367088444dded35aa41d6e65da2c89ab51f5ddc5a3201c8ecd4901778</t>
  </si>
  <si>
    <t>raw/assembled/sources/r10/results/formal-xlite-B-18000.shard-12.summary.json</t>
  </si>
  <si>
    <t>f88d09cb40f8b22b3b2eea006fca4b862089fc814353cfa63149c483be6e352c</t>
  </si>
  <si>
    <t>raw/assembled/sources/r10/results/formal-xlite-B-18000.shard-13.summary.json</t>
  </si>
  <si>
    <t>2b76f539e50d6e0f9d160c0aec92daba8ee540c7e7cf9181b99f1d1bab9c8bff</t>
  </si>
  <si>
    <t>raw/assembled/sources/r10/results/formal-xlite-B-18000.shard-14.summary.json</t>
  </si>
  <si>
    <t>311a23fcc222a8c1d049a7e9e86b12586c08e8cd4eb3d49ec0de1032d1d14dac</t>
  </si>
  <si>
    <t>raw/assembled/sources/r10/results/formal-xlite-B-18000.shard-15.summary.json</t>
  </si>
  <si>
    <t>429d45c72329ff271265dcde113657f9086c15c1885271e1472221a2b720fef2</t>
  </si>
  <si>
    <t>raw/assembled/sources/r10/results/formal-xlite-C-1000.shard-0.summary.json</t>
  </si>
  <si>
    <t>622fb51c445d81491376e0ea5f1e095a4b219868e5b135bb915082386cdf0b96</t>
  </si>
  <si>
    <t>raw/assembled/sources/r10/results/formal-xlite-C-1000.shard-1.summary.json</t>
  </si>
  <si>
    <t>0b4d5659f93cc044daffe6f806fa0140b86bf7036e0b48b94be84162f61e2283</t>
  </si>
  <si>
    <t>raw/assembled/sources/r10/results/formal-xlite-C-1000.shard-2.summary.json</t>
  </si>
  <si>
    <t>3acba7824446a7b3b0dd1c841caa7e5ea50d0c8e1ab3e4f7f4b6b9821fafb53c</t>
  </si>
  <si>
    <t>raw/assembled/sources/r10/results/formal-xlite-C-1000.shard-3.summary.json</t>
  </si>
  <si>
    <t>eaa7191ce7acc0a89092a309a091adfe5b8316beac23c2e346c3ae2ae291137d</t>
  </si>
  <si>
    <t>raw/assembled/sources/r10/results/formal-xlite-C-1000.shard-4.summary.json</t>
  </si>
  <si>
    <t>227f2e7509cb92fafedb00efd63286863ebaa73eec7a3a545a49d1e5a13e2ac2</t>
  </si>
  <si>
    <t>raw/assembled/sources/r10/results/formal-xlite-C-1000.shard-5.summary.json</t>
  </si>
  <si>
    <t>c47ccb14f32f2d70741be4cd76369ceba9604351394f900738c980ba74d07a1d</t>
  </si>
  <si>
    <t>raw/assembled/sources/r10/results/formal-xlite-C-1000.shard-6.summary.json</t>
  </si>
  <si>
    <t>b75838917a609117c8b434e62f5c407c8a13c9a7bb1e99e7676e9ff26b8f1899</t>
  </si>
  <si>
    <t>raw/assembled/sources/r10/results/formal-xlite-C-1000.shard-7.summary.json</t>
  </si>
  <si>
    <t>878c624bcb2746735dbd9e57e056bb47fe0bf18904283bc9924111c18bcf3ab8</t>
  </si>
  <si>
    <t>raw/assembled/sources/r10/results/formal-xlite-C-1000.shard-8.summary.json</t>
  </si>
  <si>
    <t>00f497b6db1b81d6e416075406c9f1e69a9cc577f540397de08619b890fb3dfb</t>
  </si>
  <si>
    <t>raw/assembled/sources/r10/results/formal-xlite-C-1000.shard-9.summary.json</t>
  </si>
  <si>
    <t>64f4b83f1689f7795b69741102364e60c0f0443e1b81a5da2bf9676f6fc8d905</t>
  </si>
  <si>
    <t>raw/assembled/sources/r10/results/formal-xlite-C-1000.shard-10.summary.json</t>
  </si>
  <si>
    <t>96587313f82306e17ddeef56fa4f0762cca848f1a0fa4276438fc7d7d3a71e24</t>
  </si>
  <si>
    <t>raw/assembled/sources/r10/results/formal-xlite-C-1000.shard-11.summary.json</t>
  </si>
  <si>
    <t>4b667b3a108607c6b6032fc0548d99921642890c9f8b2b9aa2c1b2628ed57696</t>
  </si>
  <si>
    <t>raw/assembled/sources/r10/results/formal-xlite-C-1000.shard-12.summary.json</t>
  </si>
  <si>
    <t>907540fbba57ef0de682974168df2b29ab16641e344a9abfdb435be279af001f</t>
  </si>
  <si>
    <t>raw/assembled/sources/r10/results/formal-xlite-C-1000.shard-13.summary.json</t>
  </si>
  <si>
    <t>03db756444d6cbddb66a9c1496d5d1bfd0994be59460d91224cc183673d701f0</t>
  </si>
  <si>
    <t>raw/assembled/sources/r10/results/formal-xlite-C-1000.shard-14.summary.json</t>
  </si>
  <si>
    <t>bf115d915d21a5d7d6a1f257fd0bfe8e7439915f044a4ec68a02b36c39a3aa75</t>
  </si>
  <si>
    <t>raw/assembled/sources/r10/results/formal-xlite-C-1000.shard-15.summary.json</t>
  </si>
  <si>
    <t>c6cf801b3636f2780e4e02b10d9caf2bea9b6f00503a66b72d79090c560b1a05</t>
  </si>
  <si>
    <t>raw/assembled/sources/r10/results/formal-xlite-C-2000.shard-0.summary.json</t>
  </si>
  <si>
    <t>25da62cc786fedabee1021b881acf692f79e797fd094665349e301b2f5d5cd2b</t>
  </si>
  <si>
    <t>raw/assembled/sources/r10/results/formal-xlite-C-2000.shard-1.summary.json</t>
  </si>
  <si>
    <t>1a790a0abb5948170d399b38e251ca238e79bf15710f55b17b9112111330a7ee</t>
  </si>
  <si>
    <t>raw/assembled/sources/r10/results/formal-xlite-C-2000.shard-2.summary.json</t>
  </si>
  <si>
    <t>03d181a588c321ecff6bac5a0e2b61336e96460f5d74903d0f53674401d65b4e</t>
  </si>
  <si>
    <t>raw/assembled/sources/r10/results/formal-xlite-C-2000.shard-3.summary.json</t>
  </si>
  <si>
    <t>23440da4765dd1346efad8b8bda95879cf0bc879a9f794af69d341771cc69971</t>
  </si>
  <si>
    <t>raw/assembled/sources/r10/results/formal-xlite-C-2000.shard-4.summary.json</t>
  </si>
  <si>
    <t>f545c6f56dc8f5a01a50f28d34663c897a9f2de601f01041857f5ca1f4956fcc</t>
  </si>
  <si>
    <t>raw/assembled/sources/r10/results/formal-xlite-C-2000.shard-5.summary.json</t>
  </si>
  <si>
    <t>2e21b27c1bc8b7aa14bf11583a1e2ba0c7ecf846de48fa666da651a1b2d4b44d</t>
  </si>
  <si>
    <t>raw/assembled/sources/r10/results/formal-xlite-C-2000.shard-6.summary.json</t>
  </si>
  <si>
    <t>2803cde8067d48edf5589ddb249aaf125eb649f430e2e99ea253a05af3ea7a4d</t>
  </si>
  <si>
    <t>raw/assembled/sources/r10/results/formal-xlite-C-2000.shard-7.summary.json</t>
  </si>
  <si>
    <t>3a595889fdb9b21757aa5c4764cd2282f75537577303ca960ca32a23fe3ecbb3</t>
  </si>
  <si>
    <t>raw/assembled/sources/r10/results/formal-xlite-C-2000.shard-8.summary.json</t>
  </si>
  <si>
    <t>23fa90c1da474e44e726af9c054a7b50686039a2aa2b94dfa9336d7ae8bf1981</t>
  </si>
  <si>
    <t>raw/assembled/sources/r10/results/formal-xlite-C-2000.shard-9.summary.json</t>
  </si>
  <si>
    <t>4d7dbad5495b1ecbb4aa23a10995dce608f4d5eeae664d54d0987acee8a79651</t>
  </si>
  <si>
    <t>raw/assembled/sources/r10/results/formal-xlite-C-2000.shard-10.summary.json</t>
  </si>
  <si>
    <t>5bcdc4f6c4d0f39192e0c2b7c68b9fc8dad7b3b532308e0a0d5d7e07bba78006</t>
  </si>
  <si>
    <t>raw/assembled/sources/r10/results/formal-xlite-C-2000.shard-11.summary.json</t>
  </si>
  <si>
    <t>2376b1534e5d166b06c2a1c040ad2c12a991855c27507639629c6887af7274db</t>
  </si>
  <si>
    <t>raw/assembled/sources/r10/results/formal-xlite-C-2000.shard-12.summary.json</t>
  </si>
  <si>
    <t>8e0a8f8797cc723573331120aec08bcf07b01fff4eeeb59fdea12176fddbdc5b</t>
  </si>
  <si>
    <t>raw/assembled/sources/r10/results/formal-xlite-C-2000.shard-13.summary.json</t>
  </si>
  <si>
    <t>47b2f60cf99e5a942e17178150d18c7961108bc74bbf2ee41b4d4fb6addedbc4</t>
  </si>
  <si>
    <t>raw/assembled/sources/r10/results/formal-xlite-C-2000.shard-14.summary.json</t>
  </si>
  <si>
    <t>338f2a7885e47f6a3ed6ccda085659b1b72ec6fcfdba17c4cc604f29a3ab3ae0</t>
  </si>
  <si>
    <t>raw/assembled/sources/r10/results/formal-xlite-C-2000.shard-15.summary.json</t>
  </si>
  <si>
    <t>d29e02c5c25bc9f1ca9d3ae99cae59a8ac27f567b9ba2493aa12c2be9126c4c8</t>
  </si>
  <si>
    <t>raw/assembled/sources/r10/results/formal-xlite-C-5000.shard-0.summary.json</t>
  </si>
  <si>
    <t>2a6e8579c438eacde12c7ece42c4bcd66eeb7556d951869a44201afee6638ef7</t>
  </si>
  <si>
    <t>raw/assembled/sources/r10/results/formal-xlite-C-5000.shard-1.summary.json</t>
  </si>
  <si>
    <t>3420cb4758492f25cc0a08da9364b600854358f9090c98a22c22822d9bebb1f8</t>
  </si>
  <si>
    <t>raw/assembled/sources/r10/results/formal-xlite-C-5000.shard-2.summary.json</t>
  </si>
  <si>
    <t>6efb361ac17ee40bb87b40418f211b969b00310668e813ffbd9078d54089f674</t>
  </si>
  <si>
    <t>raw/assembled/sources/r10/results/formal-xlite-C-5000.shard-3.summary.json</t>
  </si>
  <si>
    <t>64cceeb150ebb4c91a9ae3d50fc89b0293ea878dbf59c5e342dbe6fa14c8865e</t>
  </si>
  <si>
    <t>raw/assembled/sources/r10/results/formal-xlite-C-5000.shard-4.summary.json</t>
  </si>
  <si>
    <t>85c4597b672c426a768c260d548e52f58d9aa18917864dbf0769eb0f40c31198</t>
  </si>
  <si>
    <t>raw/assembled/sources/r10/results/formal-xlite-C-5000.shard-5.summary.json</t>
  </si>
  <si>
    <t>8bc859e35c40b6d5576684b730cc040da8ee4ddb7f372f7b76ff5bddd355b876</t>
  </si>
  <si>
    <t>raw/assembled/sources/r10/results/formal-xlite-C-5000.shard-6.summary.json</t>
  </si>
  <si>
    <t>335a51b5ce1f3db7a04f899dfd58967d4f3d1d4590ba5c54811134cee0520b69</t>
  </si>
  <si>
    <t>raw/assembled/sources/r10/results/formal-xlite-C-5000.shard-7.summary.json</t>
  </si>
  <si>
    <t>0b85608526df0943e0fbf53c7240ad658a15a088dacce6e3a6f2a1b11266a72a</t>
  </si>
  <si>
    <t>raw/assembled/sources/r10/results/formal-xlite-C-5000.shard-8.summary.json</t>
  </si>
  <si>
    <t>a17ee26ee3707cbf47224ad69e86e44907b5e3250b47dfd2d07e897936fe3ce2</t>
  </si>
  <si>
    <t>raw/assembled/sources/r10/results/formal-xlite-C-5000.shard-9.summary.json</t>
  </si>
  <si>
    <t>6d760c7955caa362f2ffd3b68362958b627982d86d67545084722acf61861fce</t>
  </si>
  <si>
    <t>raw/assembled/sources/r10/results/formal-xlite-C-5000.shard-10.summary.json</t>
  </si>
  <si>
    <t>7bce550a73d305f740aba5a7dd6542dc45b2e76ce52abd4202e010dd72c18166</t>
  </si>
  <si>
    <t>raw/assembled/sources/r10/results/formal-xlite-C-5000.shard-11.summary.json</t>
  </si>
  <si>
    <t>e03d3261337f2ecdae56db822ded75c6403987711364eb60140a4c77fc932be2</t>
  </si>
  <si>
    <t>raw/assembled/sources/r10/results/formal-xlite-C-5000.shard-12.summary.json</t>
  </si>
  <si>
    <t>1c8f9fcc651df080b61a973880aaad6661961ed08bdd4287c5dd7b392d32003a</t>
  </si>
  <si>
    <t>raw/assembled/sources/r10/results/formal-xlite-C-5000.shard-13.summary.json</t>
  </si>
  <si>
    <t>ad6c91a989ddea0e8a648591b689fdf904d654b79e7a3ea65e60024a4522386b</t>
  </si>
  <si>
    <t>raw/assembled/sources/r10/results/formal-xlite-C-5000.shard-14.summary.json</t>
  </si>
  <si>
    <t>a05650781bd6ac91253b1e878c816598dfc3c1444b5163c25ab960adfc2e872f</t>
  </si>
  <si>
    <t>raw/assembled/sources/r10/results/formal-xlite-C-5000.shard-15.summary.json</t>
  </si>
  <si>
    <t>bf95a523035606612a89d504fa7010bc1a766aa1125acdcd1eec6fc8787e2694</t>
  </si>
  <si>
    <t>raw/assembled/sources/r10/results/formal-xlite-C-10000.shard-0.summary.json</t>
  </si>
  <si>
    <t>b03e4a4733ad76e8e8a47383f79d1cc5507ddc98defb54b25271c8be19235bb8</t>
  </si>
  <si>
    <t>raw/assembled/sources/r10/results/formal-xlite-C-10000.shard-1.summary.json</t>
  </si>
  <si>
    <t>655cb5b72120e5a9022ae08a3ad3f38279d1674e94bb7bc3f3279b3336d1df80</t>
  </si>
  <si>
    <t>raw/assembled/sources/r10/results/formal-xlite-C-10000.shard-2.summary.json</t>
  </si>
  <si>
    <t>392a9ca25f71200ee3dd88e5243a6e5f6f513638dc846c6802e20ecbe4cf04e9</t>
  </si>
  <si>
    <t>raw/assembled/sources/r10/results/formal-xlite-C-10000.shard-3.summary.json</t>
  </si>
  <si>
    <t>a6aa542ffe81bf90c9998531559bf0c218d33de66ade441ae7a4536dad068de2</t>
  </si>
  <si>
    <t>raw/assembled/sources/r10/results/formal-xlite-C-10000.shard-4.summary.json</t>
  </si>
  <si>
    <t>2accc513a5570a42be08c97a83f5123d0d12e125a0c6b13a84b7bbc5d7b7e90e</t>
  </si>
  <si>
    <t>raw/assembled/sources/r10/results/formal-xlite-C-10000.shard-5.summary.json</t>
  </si>
  <si>
    <t>156b0a0d8d514e082d10955a38954a51b1f2d6da3f0f9a73c18bdac9758884ef</t>
  </si>
  <si>
    <t>raw/assembled/sources/r10/results/formal-xlite-C-10000.shard-6.summary.json</t>
  </si>
  <si>
    <t>8870a6b9a6c2b8815aa45ca20014a37d39582700b3cad5b561a2742040a8af4e</t>
  </si>
  <si>
    <t>raw/assembled/sources/r10/results/formal-xlite-C-10000.shard-7.summary.json</t>
  </si>
  <si>
    <t>0309236cab6125d112d2d3afa6379a21a2e174953d7eff5ec06ec0b1a65786d8</t>
  </si>
  <si>
    <t>raw/assembled/sources/r10/results/formal-xlite-C-10000.shard-8.summary.json</t>
  </si>
  <si>
    <t>36f0f5e7e062858a1594f2373924a551bbde4fa9fde18399a63fbf3e1ff844bd</t>
  </si>
  <si>
    <t>raw/assembled/sources/r10/results/formal-xlite-C-10000.shard-9.summary.json</t>
  </si>
  <si>
    <t>652606617f0038240236f3578ebde0232bf563dd8e8d468d24cb619dc42559f4</t>
  </si>
  <si>
    <t>raw/assembled/sources/r10/results/formal-xlite-C-10000.shard-10.summary.json</t>
  </si>
  <si>
    <t>9c4c3615b3973ec336a4c7e8652834ebae283ec729d22b916253950f30bb7202</t>
  </si>
  <si>
    <t>raw/assembled/sources/r10/results/formal-xlite-C-10000.shard-11.summary.json</t>
  </si>
  <si>
    <t>3f18c99525089d94312b4ba333dcd01dc3c163511da7700ef214458cad70279b</t>
  </si>
  <si>
    <t>raw/assembled/sources/r10/results/formal-xlite-C-10000.shard-12.summary.json</t>
  </si>
  <si>
    <t>b583d3ef0bdb5486a4f0b3cfd2e51111a2415d8af15860ebbf08e67eeb101532</t>
  </si>
  <si>
    <t>raw/assembled/sources/r10/results/formal-xlite-C-10000.shard-13.summary.json</t>
  </si>
  <si>
    <t>63260f033b22fba67f2eac228b2e0ea2079f977f40ded60ab4d114c8e2f198e7</t>
  </si>
  <si>
    <t>raw/assembled/sources/r10/results/formal-xlite-C-10000.shard-14.summary.json</t>
  </si>
  <si>
    <t>e0407a485ed5d92f22b24698e7fd1a3c802a0c7ba4152a9a58ee42bd729bf0ec</t>
  </si>
  <si>
    <t>raw/assembled/sources/r10/results/formal-xlite-C-10000.shard-15.summary.json</t>
  </si>
  <si>
    <t>1877da581e42c652e2a9e5ba5bc0593a4c03ad2abc28099387ad419ae0e62cc4</t>
  </si>
  <si>
    <t>raw/assembled/sources/r10/results/formal-xlite-C-15000.shard-0.summary.json</t>
  </si>
  <si>
    <t>dcb4faedcec3242d177c2fd7852ca0b267258ee71e3e63c2a15618a13d23f52c</t>
  </si>
  <si>
    <t>raw/assembled/sources/r10/results/formal-xlite-C-15000.shard-1.summary.json</t>
  </si>
  <si>
    <t>98ba2c9f4ca077bca91b98b3e73f9c717671b60f0b13e875ad80dced89db7379</t>
  </si>
  <si>
    <t>raw/assembled/sources/r10/results/formal-xlite-C-15000.shard-2.summary.json</t>
  </si>
  <si>
    <t>d1e3ef954cb8b74caf1875ed78c494b1f99a6c67a5a394436d3d1f4ee9e292b6</t>
  </si>
  <si>
    <t>raw/assembled/sources/r10/results/formal-xlite-C-15000.shard-3.summary.json</t>
  </si>
  <si>
    <t>64a8d31a9a2efc18abdbf14f0473396d86e5b58279e629da1a79f25473906a2b</t>
  </si>
  <si>
    <t>raw/assembled/sources/r10/results/formal-xlite-C-15000.shard-4.summary.json</t>
  </si>
  <si>
    <t>af9322d985ffe346dcaaac95be2f4e3c5b5d11f67b801def81f8e9410b4d5aba</t>
  </si>
  <si>
    <t>raw/assembled/sources/r10/results/formal-xlite-C-15000.shard-5.summary.json</t>
  </si>
  <si>
    <t>f1527acbc7bd44c218b5111bfa098e1ecd183c4976a8c92db4487bc543f43110</t>
  </si>
  <si>
    <t>raw/assembled/sources/r10/results/formal-xlite-C-15000.shard-6.summary.json</t>
  </si>
  <si>
    <t>86b72cf96907aa8ed2c752d53cdfb649cc99de0f5703467cd11b018a8b560aa9</t>
  </si>
  <si>
    <t>raw/assembled/sources/r10/results/formal-xlite-C-15000.shard-7.summary.json</t>
  </si>
  <si>
    <t>193c85929abd0c53c6bccb8ce0b005d524a151acc850354d935096cdc0f8da75</t>
  </si>
  <si>
    <t>raw/assembled/sources/r10/results/formal-xlite-C-15000.shard-8.summary.json</t>
  </si>
  <si>
    <t>4b8c1cfaa7eb0a80e6276bd030b8e6cbed6c9ec309f2291c7d964cbb7169287a</t>
  </si>
  <si>
    <t>raw/assembled/sources/r10/results/formal-xlite-C-15000.shard-9.summary.json</t>
  </si>
  <si>
    <t>33c83582c22405a0d1ba3d0a453947cfd30e29eabfbd3777dcde589c5ad29dd5</t>
  </si>
  <si>
    <t>raw/assembled/sources/r10/results/formal-xlite-C-15000.shard-10.summary.json</t>
  </si>
  <si>
    <t>966bede90ec1a53c8e171e4ce7398abb9e5756dd809a87e07b5f064b214ff968</t>
  </si>
  <si>
    <t>raw/assembled/sources/r10/results/formal-xlite-C-15000.shard-11.summary.json</t>
  </si>
  <si>
    <t>ae1b3e5854ef840aa5b15ed5f29001750fbc09f19df2f8b7086d7f3387233884</t>
  </si>
  <si>
    <t>raw/assembled/sources/r10/results/formal-xlite-C-15000.shard-12.summary.json</t>
  </si>
  <si>
    <t>28b695a28231e6ac4b1fdafbad683b935aeee41ea4598da438f01b80463e7141</t>
  </si>
  <si>
    <t>raw/assembled/sources/r10/results/formal-xlite-C-15000.shard-13.summary.json</t>
  </si>
  <si>
    <t>26fec98c44dd1b50beda55fad0684ae44395fe9becc36b7157a45001b2440ef5</t>
  </si>
  <si>
    <t>raw/assembled/sources/r10/results/formal-xlite-C-15000.shard-14.summary.json</t>
  </si>
  <si>
    <t>dec0873711d2edae97e2e4f2e64271ac8026eb90482f128a9f06725a4829aa28</t>
  </si>
  <si>
    <t>raw/assembled/sources/r10/results/formal-xlite-C-15000.shard-15.summary.json</t>
  </si>
  <si>
    <t>ec7ee41fd0c29ec2094faa14eb5f11f2a98a31653305eb8719c741d6deb7d96e</t>
  </si>
  <si>
    <t>raw/assembled/sources/r10/results/formal-xlite-C-18000.shard-0.summary.json</t>
  </si>
  <si>
    <t>6d52f2e82f5b0a3814200e35e12601b580643eb877b83aec1483cbf317fd5e31</t>
  </si>
  <si>
    <t>raw/assembled/sources/r10/results/formal-xlite-C-18000.shard-1.summary.json</t>
  </si>
  <si>
    <t>1f3c6b938664b9d201a83761ee0a8d331e4b14e913585adc1756838f05c0e9af</t>
  </si>
  <si>
    <t>raw/assembled/sources/r10/results/formal-xlite-C-18000.shard-2.summary.json</t>
  </si>
  <si>
    <t>6c670e43477d085f3ff962407de7bc200a16b1ca2656fd0d0e7dd2b2fd25255c</t>
  </si>
  <si>
    <t>raw/assembled/sources/r10/results/formal-xlite-C-18000.shard-3.summary.json</t>
  </si>
  <si>
    <t>5efc495df84ab3d735b9720a389b7d52007b592f752d94a8dbd97bcd4490c8a9</t>
  </si>
  <si>
    <t>raw/assembled/sources/r10/results/formal-xlite-C-18000.shard-4.summary.json</t>
  </si>
  <si>
    <t>036b29253e14cb44c9eedecd1222dd421be3e05267456e8d490c9e8033d3dd1e</t>
  </si>
  <si>
    <t>raw/assembled/sources/r10/results/formal-xlite-C-18000.shard-5.summary.json</t>
  </si>
  <si>
    <t>fbc2c80ad3239ba08fb0914f84ffd0c29cb53ba39634b1e7dfa86ecb8e35da2f</t>
  </si>
  <si>
    <t>raw/assembled/sources/r10/results/formal-xlite-C-18000.shard-6.summary.json</t>
  </si>
  <si>
    <t>487d239ed49640b0b23015ab32d8acf56437e0a7e55ca4aaed2ca3cbcf774590</t>
  </si>
  <si>
    <t>raw/assembled/sources/r10/results/formal-xlite-C-18000.shard-7.summary.json</t>
  </si>
  <si>
    <t>2432e9156058324c7c4d62a40c79c2e213746f63cff5849ec275c03e775142c8</t>
  </si>
  <si>
    <t>raw/assembled/sources/r10/results/formal-xlite-C-18000.shard-8.summary.json</t>
  </si>
  <si>
    <t>712adaeadceb41e46cbbcbd96dcb3e60c6d3e52819281476015a1f10fae822e8</t>
  </si>
  <si>
    <t>raw/assembled/sources/r10/results/formal-xlite-C-18000.shard-9.summary.json</t>
  </si>
  <si>
    <t>b4bc769b5a2f3f85ea7b6e29fdf89a9948d316913e17da609a6d382c774aa27f</t>
  </si>
  <si>
    <t>raw/assembled/sources/r10/results/formal-xlite-C-18000.shard-10.summary.json</t>
  </si>
  <si>
    <t>ae8241e608e185562d8349de3ace5398155c99a85e9cc04c3f216ab7b5efebe7</t>
  </si>
  <si>
    <t>raw/assembled/sources/r10/results/formal-xlite-C-18000.shard-11.summary.json</t>
  </si>
  <si>
    <t>4a98c8bcc0287f5d3cdc15e2b0245105278465b67cf1875bdbac4385aaa27bbf</t>
  </si>
  <si>
    <t>raw/assembled/sources/r10/results/formal-xlite-C-18000.shard-12.summary.json</t>
  </si>
  <si>
    <t>4079d7ce529256a3d34786eb7d9e0b558573b37d667343f25edce6da0dbc2dc3</t>
  </si>
  <si>
    <t>raw/assembled/sources/r10/results/formal-xlite-C-18000.shard-13.summary.json</t>
  </si>
  <si>
    <t>0d35682c65dfcf12050d937dd848e72f0f19aed7e0d6baa21be765a4553d84b9</t>
  </si>
  <si>
    <t>raw/assembled/sources/r10/results/formal-xlite-C-18000.shard-14.summary.json</t>
  </si>
  <si>
    <t>e28eac553f8915f006ca221c1a0267f18430425abbd22714b974665f78fa9329</t>
  </si>
  <si>
    <t>raw/assembled/sources/r10/results/formal-xlite-C-18000.shard-15.summary.json</t>
  </si>
  <si>
    <t>6d7d7568c9dccd09b86348d78079fbd9126d7a22d31610ba05da08433a94710b</t>
  </si>
  <si>
    <t>raw/assembled/sources/r11/results/formal-xlite-F-1000.shard-0.summary.json</t>
  </si>
  <si>
    <t>f383848bfb758f261c0132e8aa1fa8491c74bcd1b5eeb579487816775a63f86d</t>
  </si>
  <si>
    <t>raw/assembled/sources/r11/results/formal-xlite-F-1000.shard-1.summary.json</t>
  </si>
  <si>
    <t>ab751a1cf34c7dfd83528121e5bff59610e22247680329033d6d62b9de889bcc</t>
  </si>
  <si>
    <t>raw/assembled/sources/r11/results/formal-xlite-F-1000.shard-2.summary.json</t>
  </si>
  <si>
    <t>6159b4cb4a87cf88039f379dd0cdabba4d83861779b61cd1c657c8028f62a69e</t>
  </si>
  <si>
    <t>raw/assembled/sources/r11/results/formal-xlite-F-1000.shard-3.summary.json</t>
  </si>
  <si>
    <t>950f6f48e42b2179ed3301295e7d5e73d5967940e4c73f9d0a621b6a6f600156</t>
  </si>
  <si>
    <t>raw/assembled/sources/r11/results/formal-xlite-F-1000.shard-4.summary.json</t>
  </si>
  <si>
    <t>b8b0d065aa5e08f33e2eed9641faceb9472c0b40bf1f5ae6596fc24093f25585</t>
  </si>
  <si>
    <t>raw/assembled/sources/r11/results/formal-xlite-F-1000.shard-5.summary.json</t>
  </si>
  <si>
    <t>914290963730bae7fa51fe50ac0ac9903f5db6c9e53a2edd1b128eee832c0429</t>
  </si>
  <si>
    <t>raw/assembled/sources/r11/results/formal-xlite-F-1000.shard-6.summary.json</t>
  </si>
  <si>
    <t>2695b52da36ffa016578bb6876e80e774198ab478e10c9989ec89f117f42c9f2</t>
  </si>
  <si>
    <t>raw/assembled/sources/r11/results/formal-xlite-F-1000.shard-7.summary.json</t>
  </si>
  <si>
    <t>579b36c6987930f5a047422f4fa88e095d5baf7b5e231f275f91119c57af1de3</t>
  </si>
  <si>
    <t>raw/assembled/sources/r11/results/formal-xlite-F-1000.shard-8.summary.json</t>
  </si>
  <si>
    <t>0df53de302ecc1de45d5063e51222e4411f1c55d31b5b89cfae342e1867f462d</t>
  </si>
  <si>
    <t>raw/assembled/sources/r11/results/formal-xlite-F-1000.shard-9.summary.json</t>
  </si>
  <si>
    <t>713c5efa23b6d3ad958f51d71d7771f8f2991886a308d662895725c9f6ef2e80</t>
  </si>
  <si>
    <t>raw/assembled/sources/r11/results/formal-xlite-F-1000.shard-10.summary.json</t>
  </si>
  <si>
    <t>7c3c6b92b88374ec2648d7359cea6bdb0c29b4e892a4701958b2932726e7790e</t>
  </si>
  <si>
    <t>raw/assembled/sources/r11/results/formal-xlite-F-1000.shard-11.summary.json</t>
  </si>
  <si>
    <t>6ba003f48a69d4d607a91403ca7ce8618dae1bfb9f43ad429bbc8209ccb29289</t>
  </si>
  <si>
    <t>raw/assembled/sources/r11/results/formal-xlite-F-1000.shard-12.summary.json</t>
  </si>
  <si>
    <t>31bdf4325159be1a57ec0cd0ba782745aca40fed20f94ca7a0638a08d73a0a90</t>
  </si>
  <si>
    <t>raw/assembled/sources/r11/results/formal-xlite-F-1000.shard-13.summary.json</t>
  </si>
  <si>
    <t>6ea272845496c06fe208244e71fe9771715b9780193a668eeb59b52705b04c83</t>
  </si>
  <si>
    <t>raw/assembled/sources/r11/results/formal-xlite-F-1000.shard-14.summary.json</t>
  </si>
  <si>
    <t>ecf6fd5aee1831b49c6046e5566a0ccf77f78855716297edfae1db18aa07942f</t>
  </si>
  <si>
    <t>raw/assembled/sources/r11/results/formal-xlite-F-1000.shard-15.summary.json</t>
  </si>
  <si>
    <t>7fca440fc9b9e2141da7ece847c0379c5b754becde2ba400f5c0ba53990f9c2a</t>
  </si>
  <si>
    <t>raw/assembled/sources/r11/results/formal-xlite-F-2000.shard-0.summary.json</t>
  </si>
  <si>
    <t>cc9601060526fd6a5a8493e4eb9a67b7ec06d4baab57b20bac4d8f06c967eead</t>
  </si>
  <si>
    <t>raw/assembled/sources/r11/results/formal-xlite-F-2000.shard-1.summary.json</t>
  </si>
  <si>
    <t>f9d40d56597d64bcf75361c6a2722a7184905d6a62b6d5e85a0e3a713ad54944</t>
  </si>
  <si>
    <t>raw/assembled/sources/r11/results/formal-xlite-F-2000.shard-2.summary.json</t>
  </si>
  <si>
    <t>e267c8b8d287c1ca49c40afe37723871f40c5390e84804c95e501d9530d34290</t>
  </si>
  <si>
    <t>raw/assembled/sources/r11/results/formal-xlite-F-2000.shard-3.summary.json</t>
  </si>
  <si>
    <t>67a03e32b6c49ee399feee264ba373c04524cf4eb83e5118689e8d463edcee6f</t>
  </si>
  <si>
    <t>raw/assembled/sources/r11/results/formal-xlite-F-2000.shard-4.summary.json</t>
  </si>
  <si>
    <t>e341180b04a64dc9f91a4c65104a4f578e997f78200bcd3d7bdc8ce28585547e</t>
  </si>
  <si>
    <t>raw/assembled/sources/r11/results/formal-xlite-F-2000.shard-5.summary.json</t>
  </si>
  <si>
    <t>8ff64e0b963f6208c0d7aad81bbac54fc8cc9a818f68394e3bc23929c5046854</t>
  </si>
  <si>
    <t>raw/assembled/sources/r11/results/formal-xlite-F-2000.shard-6.summary.json</t>
  </si>
  <si>
    <t>83549d7356aed436e5f16d8df63490d18dda998b7f804e27aaeac72ad7db62a4</t>
  </si>
  <si>
    <t>raw/assembled/sources/r11/results/formal-xlite-F-2000.shard-7.summary.json</t>
  </si>
  <si>
    <t>9fc48566ba3b7f26d320af90745d7f8dc7b6cdfda4c0ee5d686573333ee223e7</t>
  </si>
  <si>
    <t>raw/assembled/sources/r11/results/formal-xlite-F-2000.shard-8.summary.json</t>
  </si>
  <si>
    <t>cd091fd4e43ac7981ad13565612812d47058695304bbf069a3fea3bf234581da</t>
  </si>
  <si>
    <t>raw/assembled/sources/r11/results/formal-xlite-F-2000.shard-9.summary.json</t>
  </si>
  <si>
    <t>38b75d1b12859f8b557fb29149b951bde1e5ba9b41dc61fadf486e30608afad7</t>
  </si>
  <si>
    <t>raw/assembled/sources/r11/results/formal-xlite-F-2000.shard-10.summary.json</t>
  </si>
  <si>
    <t>3623c1bd677b5316104c26ea783dca9efbf9347af35622e5097cc267191fa93e</t>
  </si>
  <si>
    <t>raw/assembled/sources/r11/results/formal-xlite-F-2000.shard-11.summary.json</t>
  </si>
  <si>
    <t>c90d2aeae7b82bdf75d4ff300044f7a4fd632c12ffe9949efee5172ee1b86153</t>
  </si>
  <si>
    <t>raw/assembled/sources/r11/results/formal-xlite-F-2000.shard-12.summary.json</t>
  </si>
  <si>
    <t>78fb6aaa178f5467269e6cf013dcbc2eb1a1e1a270abc9a233a682c9a5e3cf59</t>
  </si>
  <si>
    <t>raw/assembled/sources/r11/results/formal-xlite-F-2000.shard-13.summary.json</t>
  </si>
  <si>
    <t>a55695d083cd75f54c1e33f983850e0ac973ab259fd56ce7f38ed942ca87bb6f</t>
  </si>
  <si>
    <t>raw/assembled/sources/r11/results/formal-xlite-F-2000.shard-14.summary.json</t>
  </si>
  <si>
    <t>48933bfb2d98f03e1c72e2d19b554f6c02eaba04ac085219c5986a175be875d6</t>
  </si>
  <si>
    <t>raw/assembled/sources/r11/results/formal-xlite-F-2000.shard-15.summary.json</t>
  </si>
  <si>
    <t>aa744db5a9fcef8c00d17d22c4c8117fef17e7e338d7edcd9ac3d7b39f7b1f22</t>
  </si>
  <si>
    <t>raw/assembled/sources/r11/results/formal-xlite-F-5000.shard-0.summary.json</t>
  </si>
  <si>
    <t>70cc4092ab2242fc4ecf2716ed005ed0c48ae6a29cb624a13b1cfe6783ce2cfd</t>
  </si>
  <si>
    <t>raw/assembled/sources/r11/results/formal-xlite-F-5000.shard-1.summary.json</t>
  </si>
  <si>
    <t>0bb7a93d884afedc3b8071463985d00e10310124341dcb0a874a3f5ed82ca49f</t>
  </si>
  <si>
    <t>raw/assembled/sources/r11/results/formal-xlite-F-5000.shard-2.summary.json</t>
  </si>
  <si>
    <t>7cd5e8be599c0771e256c74eb3eff8ac05231149e5adea2bdcdea96e516576e4</t>
  </si>
  <si>
    <t>raw/assembled/sources/r11/results/formal-xlite-F-5000.shard-3.summary.json</t>
  </si>
  <si>
    <t>3a3f013b35718e8fa4794d0aa0a3b059aabac3a39faeba4a7cc067a88f6f8feb</t>
  </si>
  <si>
    <t>raw/assembled/sources/r11/results/formal-xlite-F-5000.shard-4.summary.json</t>
  </si>
  <si>
    <t>41ddad0333b69279ef2a108030e0ae20a0afb11035d9930349dcf8fb5d9e3ad2</t>
  </si>
  <si>
    <t>raw/assembled/sources/r11/results/formal-xlite-F-5000.shard-5.summary.json</t>
  </si>
  <si>
    <t>9cac5c1d92833a59a571d8d26c561e4d778ff232507f3639b9653eecf6f0c024</t>
  </si>
  <si>
    <t>raw/assembled/sources/r11/results/formal-xlite-F-5000.shard-6.summary.json</t>
  </si>
  <si>
    <t>8d977cd7eb98c5734ca7fe48f2f45d2250d49d4b286d5bf67d3f270a7a2f9c0f</t>
  </si>
  <si>
    <t>raw/assembled/sources/r11/results/formal-xlite-F-5000.shard-7.summary.json</t>
  </si>
  <si>
    <t>97fa9ebdf4cce9b01612ffee06539dfecbd6614cc4e81da5cdac57c06bb630ca</t>
  </si>
  <si>
    <t>raw/assembled/sources/r11/results/formal-xlite-F-5000.shard-8.summary.json</t>
  </si>
  <si>
    <t>7c81dacecf11b84186ec0edfac940122b76e3462a42c46cfbdfa691c39ce2eb7</t>
  </si>
  <si>
    <t>raw/assembled/sources/r11/results/formal-xlite-F-5000.shard-9.summary.json</t>
  </si>
  <si>
    <t>9ca530dfa6a00834c861d729ea3ff2bc00e08a3bd8c5c9c42fc137f4b8e39bae</t>
  </si>
  <si>
    <t>raw/assembled/sources/r11/results/formal-xlite-F-5000.shard-10.summary.json</t>
  </si>
  <si>
    <t>35d9e92fdd9454777908ac54ca61b64b83038db61a7c51e548e658e122de044c</t>
  </si>
  <si>
    <t>raw/assembled/sources/r11/results/formal-xlite-F-5000.shard-11.summary.json</t>
  </si>
  <si>
    <t>fba98d52d586b18dd48075c9d2af7c9fdb7a486f1fa5761e3c469499b565ca01</t>
  </si>
  <si>
    <t>raw/assembled/sources/r11/results/formal-xlite-F-5000.shard-12.summary.json</t>
  </si>
  <si>
    <t>b1b7c811c797b52839cb29061efb4aa8149279c626c102e31c69f5c7f1fd8156</t>
  </si>
  <si>
    <t>raw/assembled/sources/r11/results/formal-xlite-F-5000.shard-13.summary.json</t>
  </si>
  <si>
    <t>f2501cc405e81f758a673e8e50ab32845de03972023549e62a00af96b67d99b0</t>
  </si>
  <si>
    <t>raw/assembled/sources/r11/results/formal-xlite-F-5000.shard-14.summary.json</t>
  </si>
  <si>
    <t>3c554d76576bf1838736c5129bd1f60a3f96e2dae984639ea99b6aaefe9da4f2</t>
  </si>
  <si>
    <t>raw/assembled/sources/r11/results/formal-xlite-F-5000.shard-15.summary.json</t>
  </si>
  <si>
    <t>d3a6dbb1f5c0b8c066e12d6bb6cc5ec4f69a7351f71576c24c40cfb6df819368</t>
  </si>
  <si>
    <t>raw/assembled/sources/r11/results/formal-xlite-F-10000.shard-0.summary.json</t>
  </si>
  <si>
    <t>281f5762703c47a310d50c5ec043d3d7b7edd4bac68ad9ad4d8f03e473a8bead</t>
  </si>
  <si>
    <t>raw/assembled/sources/r11/results/formal-xlite-F-10000.shard-1.summary.json</t>
  </si>
  <si>
    <t>cccbbcb2240ad26136c10c51ba6f7989733e785cae4b46da0a1da21979e6be20</t>
  </si>
  <si>
    <t>raw/assembled/sources/r11/results/formal-xlite-F-10000.shard-2.summary.json</t>
  </si>
  <si>
    <t>94358d870c91197611cd8e8805489499cdb35c61d0b88cc1546a338dc7160e09</t>
  </si>
  <si>
    <t>raw/assembled/sources/r11/results/formal-xlite-F-10000.shard-3.summary.json</t>
  </si>
  <si>
    <t>cb9ed7fe42a7369c0a4bea8258a3aa84964b9a597f2735052a75faf57ddd065b</t>
  </si>
  <si>
    <t>raw/assembled/sources/r11/results/formal-xlite-F-10000.shard-4.summary.json</t>
  </si>
  <si>
    <t>107d283c5fb7b45ff53dc802ebc693678185c2afa55b8bacdc4b95abde4ac346</t>
  </si>
  <si>
    <t>raw/assembled/sources/r11/results/formal-xlite-F-10000.shard-5.summary.json</t>
  </si>
  <si>
    <t>c239a8be336dd10e159ba612c41d491cde4b6af51082c5fe9790a5100886e412</t>
  </si>
  <si>
    <t>raw/assembled/sources/r11/results/formal-xlite-F-10000.shard-6.summary.json</t>
  </si>
  <si>
    <t>bf0b9172250e76d53cc7faf5fc5f88d0367782672ef808ed29fa19892e24f700</t>
  </si>
  <si>
    <t>raw/assembled/sources/r11/results/formal-xlite-F-10000.shard-7.summary.json</t>
  </si>
  <si>
    <t>5903865d9cc2119f728e0b1dbcc8540127a78a84591a77757f24c67b3b9ba134</t>
  </si>
  <si>
    <t>raw/assembled/sources/r11/results/formal-xlite-F-10000.shard-8.summary.json</t>
  </si>
  <si>
    <t>a53c1eb61a27182babf63e15387da0b31681c26e199b0e7cffac6f3f51bddfb5</t>
  </si>
  <si>
    <t>raw/assembled/sources/r11/results/formal-xlite-F-10000.shard-9.summary.json</t>
  </si>
  <si>
    <t>fded756e1a895ea830beaedc012b40a3673cd9cdcd5bd4556e7c1f1e02c87e2f</t>
  </si>
  <si>
    <t>raw/assembled/sources/r11/results/formal-xlite-F-10000.shard-10.summary.json</t>
  </si>
  <si>
    <t>0b0f5c6f77a1fb6af91f8b4efadbaffed36781e64540a89c32d0c85626418f35</t>
  </si>
  <si>
    <t>raw/assembled/sources/r11/results/formal-xlite-F-10000.shard-11.summary.json</t>
  </si>
  <si>
    <t>05bd670343422e8f241d97b70d1bdebadd8e3e924a2cb8c407f9ed35a7f5d552</t>
  </si>
  <si>
    <t>raw/assembled/sources/r11/results/formal-xlite-F-10000.shard-12.summary.json</t>
  </si>
  <si>
    <t>88647fdaa846fac8c15d97b81720728dce874c335e67cc115614d100520795d9</t>
  </si>
  <si>
    <t>raw/assembled/sources/r11/results/formal-xlite-F-10000.shard-13.summary.json</t>
  </si>
  <si>
    <t>a8f402e513b706b027531a55199d1e15bc32b3de5f36d2a75f7d9af18cbedb96</t>
  </si>
  <si>
    <t>raw/assembled/sources/r11/results/formal-xlite-F-10000.shard-14.summary.json</t>
  </si>
  <si>
    <t>d110978b40b72b9af8ce58af0ca7895f66fc0eee1e4696ed3f9cc7d33ab4ee17</t>
  </si>
  <si>
    <t>raw/assembled/sources/r11/results/formal-xlite-F-10000.shard-15.summary.json</t>
  </si>
  <si>
    <t>7904cc9d6cc42f60250e1c5148943a5f7788861baf4e0dddcddf61b73a9e3145</t>
  </si>
  <si>
    <t>raw/assembled/sources/r11/results/formal-xlite-F-15000.shard-0.summary.json</t>
  </si>
  <si>
    <t>535358c0e663985fabcb0d0fe3fcf2dec85e1007a38df39ef3ee88d840f93d8a</t>
  </si>
  <si>
    <t>raw/assembled/sources/r11/results/formal-xlite-F-15000.shard-1.summary.json</t>
  </si>
  <si>
    <t>617cbf93a12182a7834225f7d00cdde073645276fed7818918f181f9743209f1</t>
  </si>
  <si>
    <t>raw/assembled/sources/r11/results/formal-xlite-F-15000.shard-2.summary.json</t>
  </si>
  <si>
    <t>2036ecaf0b1bb8446405bcda71ecfdf59f49491dc8127891f442e4d09e30a1e9</t>
  </si>
  <si>
    <t>raw/assembled/sources/r11/results/formal-xlite-F-15000.shard-3.summary.json</t>
  </si>
  <si>
    <t>62894e50706d175a60c6af203a4667bb9b1e5e9bb8cd3663aa04f91430298965</t>
  </si>
  <si>
    <t>raw/assembled/sources/r11/results/formal-xlite-F-15000.shard-4.summary.json</t>
  </si>
  <si>
    <t>88c39c87e078c772daa0e8aaa1a3b948dc2f2ba0871d3a2c6e845be56c24ed4a</t>
  </si>
  <si>
    <t>raw/assembled/sources/r11/results/formal-xlite-F-15000.shard-5.summary.json</t>
  </si>
  <si>
    <t>aa508cc4cc41d083bfb43792d63d6cf37ff1881110c5e4cf268e95d2a5148143</t>
  </si>
  <si>
    <t>raw/assembled/sources/r11/results/formal-xlite-F-15000.shard-6.summary.json</t>
  </si>
  <si>
    <t>872f9792f8ceae06fd162e7e97fca70e32a82ec07af3c3a9e007e462b3a48a12</t>
  </si>
  <si>
    <t>raw/assembled/sources/r11/results/formal-xlite-F-15000.shard-7.summary.json</t>
  </si>
  <si>
    <t>33b67dec60e6055faf9506ec1cfaae55831c9fb31883016f6de7644cee1b582e</t>
  </si>
  <si>
    <t>raw/assembled/sources/r11/results/formal-xlite-F-15000.shard-8.summary.json</t>
  </si>
  <si>
    <t>397a760c625f0ef0fcbdb66276ec65c7dff26561f99da4bb9eb03a400ff6fd89</t>
  </si>
  <si>
    <t>raw/assembled/sources/r11/results/formal-xlite-F-15000.shard-9.summary.json</t>
  </si>
  <si>
    <t>80945b25a9e6e93069c0b239b0c7df1d4fea801b6904df33be9442aebd16f3cc</t>
  </si>
  <si>
    <t>raw/assembled/sources/r11/results/formal-xlite-F-15000.shard-10.summary.json</t>
  </si>
  <si>
    <t>1e9ce5babc1a360a73abf49c84a1a9fa4c83ab9930d0b4ddbb0b2166722bf7b6</t>
  </si>
  <si>
    <t>raw/assembled/sources/r11/results/formal-xlite-F-15000.shard-11.summary.json</t>
  </si>
  <si>
    <t>aebea4e2336eb5195474dd6b9e96aa85c54abb41252ceced3ccfeef85f52778f</t>
  </si>
  <si>
    <t>raw/assembled/sources/r11/results/formal-xlite-F-15000.shard-12.summary.json</t>
  </si>
  <si>
    <t>dc6a4bbe225de6e720fa9bf8411648a97cf1a22c105a13e90e8433522e512289</t>
  </si>
  <si>
    <t>raw/assembled/sources/r11/results/formal-xlite-F-15000.shard-13.summary.json</t>
  </si>
  <si>
    <t>4d487beab08a5f6c2fe6dcd1b201fcfcc48bdbcffa2129a4339c1666617877bd</t>
  </si>
  <si>
    <t>raw/assembled/sources/r11/results/formal-xlite-F-15000.shard-14.summary.json</t>
  </si>
  <si>
    <t>908c7ef6624cb7a46f99d7ab062d5b864aa3319008eee899d6ea2e4bb068fc7f</t>
  </si>
  <si>
    <t>raw/assembled/sources/r11/results/formal-xlite-F-15000.shard-15.summary.json</t>
  </si>
  <si>
    <t>8a46b2c84ba19587c4634cd469b1ecab30179f54dc6ff591b12b1ae3a5e0baae</t>
  </si>
  <si>
    <t>raw/assembled/sources/r11/results/formal-xlite-F-18000.shard-0.summary.json</t>
  </si>
  <si>
    <t>416cd5caf3f9e8e8b050959638dbfb232dc419ab060b0ff43ec95602c295a8d8</t>
  </si>
  <si>
    <t>raw/assembled/sources/r11/results/formal-xlite-F-18000.shard-1.summary.json</t>
  </si>
  <si>
    <t>d4b03e00dfbafb67e1e3fdb283cf49a472e33d07abff96fb329676c68f882dfe</t>
  </si>
  <si>
    <t>raw/assembled/sources/r11/results/formal-xlite-F-18000.shard-2.summary.json</t>
  </si>
  <si>
    <t>4924db66c7c06fea980a92f88cb92ae9803206b0266b52f928ab28cf7259b691</t>
  </si>
  <si>
    <t>raw/assembled/sources/r11/results/formal-xlite-F-18000.shard-3.summary.json</t>
  </si>
  <si>
    <t>bf1542d684bf7008c348ed210223012e14b9e5fe16cb53041333c30e0da637ca</t>
  </si>
  <si>
    <t>raw/assembled/sources/r11/results/formal-xlite-F-18000.shard-4.summary.json</t>
  </si>
  <si>
    <t>7fc8f17e847b1b61dc633b263a9af72a5712ff5677291ae9f91c8e50295c6a72</t>
  </si>
  <si>
    <t>raw/assembled/sources/r11/results/formal-xlite-F-18000.shard-5.summary.json</t>
  </si>
  <si>
    <t>84063d78c2bb47bf62d21c4682a7e65bf59caa917d2e3fac7543357de0242d5a</t>
  </si>
  <si>
    <t>raw/assembled/sources/r11/results/formal-xlite-F-18000.shard-6.summary.json</t>
  </si>
  <si>
    <t>9aa450a5f5b93777dce0422f4af2e28878bf7bc475915577035d9ec6ca8c9055</t>
  </si>
  <si>
    <t>raw/assembled/sources/r11/results/formal-xlite-F-18000.shard-7.summary.json</t>
  </si>
  <si>
    <t>6f3b13e488c1a4a541f64bbf6040de6c697fa6b7aebc89b3016489e51b01e374</t>
  </si>
  <si>
    <t>raw/assembled/sources/r11/results/formal-xlite-F-18000.shard-8.summary.json</t>
  </si>
  <si>
    <t>c8c2498eb974d9da1ea751934a5d5bf7bcaf93ef1d16bf72832a68fc10031595</t>
  </si>
  <si>
    <t>raw/assembled/sources/r11/results/formal-xlite-F-18000.shard-9.summary.json</t>
  </si>
  <si>
    <t>64615c879c8702ace573f8b0b48b272180a1afe44e88e9ae7fd274acf4eab37c</t>
  </si>
  <si>
    <t>raw/assembled/sources/r11/results/formal-xlite-F-18000.shard-10.summary.json</t>
  </si>
  <si>
    <t>9e657be6236be49778203feed6ef94976c2858c9c64d44d49eb11e6a5c9f8380</t>
  </si>
  <si>
    <t>raw/assembled/sources/r11/results/formal-xlite-F-18000.shard-11.summary.json</t>
  </si>
  <si>
    <t>c5023754da8c0117bb8e72ea6c9ff1d34d663f295b8b60f2c07b7d600824648a</t>
  </si>
  <si>
    <t>raw/assembled/sources/r11/results/formal-xlite-F-18000.shard-12.summary.json</t>
  </si>
  <si>
    <t>21e926b2ea3d4071bfabbda36508e56e81a1cce490a5e7eefbdcbd115da223ac</t>
  </si>
  <si>
    <t>raw/assembled/sources/r11/results/formal-xlite-F-18000.shard-13.summary.json</t>
  </si>
  <si>
    <t>eda68aaf221fbeb73a2cf63e522070f3476734cbb1f67d76b2a19682bb8c63b0</t>
  </si>
  <si>
    <t>raw/assembled/sources/r11/results/formal-xlite-F-18000.shard-14.summary.json</t>
  </si>
  <si>
    <t>27960a01895c239f8659d708ed89cc9f19bc24d5e05c1ce573de454b5593b7ce</t>
  </si>
  <si>
    <t>raw/assembled/sources/r11/results/formal-xlite-F-18000.shard-15.summary.json</t>
  </si>
  <si>
    <t>1a6ac89e465cb98b794d42328df8eb1c48d7798e76dba87d47285abf4fbdd94d</t>
  </si>
  <si>
    <t>raw/assembled/sources/r11/results/formal-xlite-D-1000.shard-0.summary.json</t>
  </si>
  <si>
    <t>fa5820cafed71d0d3ecb0ca4a507e9ca23a98b2561959c532944c1795ace29aa</t>
  </si>
  <si>
    <t>raw/assembled/sources/r11/results/formal-xlite-D-1000.shard-1.summary.json</t>
  </si>
  <si>
    <t>e794ac58f4fed628e8cb639865f6c3859a72e97c87557adb182412ecd238a1f0</t>
  </si>
  <si>
    <t>raw/assembled/sources/r11/results/formal-xlite-D-1000.shard-2.summary.json</t>
  </si>
  <si>
    <t>3829bccd109d8bdbfbb5ade4f36a584432b6529dd2639c89bb0208e9b793d1a7</t>
  </si>
  <si>
    <t>raw/assembled/sources/r11/results/formal-xlite-D-1000.shard-3.summary.json</t>
  </si>
  <si>
    <t>9b9bb7a17962bc87f7693371b13432fd02a31b88abfe0394bf7151ca351ef660</t>
  </si>
  <si>
    <t>raw/assembled/sources/r11/results/formal-xlite-D-1000.shard-4.summary.json</t>
  </si>
  <si>
    <t>93534094db031feb50b35b2d42f302e5b293620ba31b460dae7d97b01599c649</t>
  </si>
  <si>
    <t>raw/assembled/sources/r11/results/formal-xlite-D-1000.shard-5.summary.json</t>
  </si>
  <si>
    <t>dfd269d32a2b0978e1c63b1242f32a605c4195b3455a7ea0d3c9aa52fe58aeae</t>
  </si>
  <si>
    <t>raw/assembled/sources/r11/results/formal-xlite-D-1000.shard-6.summary.json</t>
  </si>
  <si>
    <t>6bd2843f02a31a92e44282d8159b11820d4cfa43e587f804ed5c480b1ca4b09a</t>
  </si>
  <si>
    <t>raw/assembled/sources/r11/results/formal-xlite-D-1000.shard-7.summary.json</t>
  </si>
  <si>
    <t>093f9c530d8287b2079672f4a9bdd39d5b073d073422a207c425e6cc75869deb</t>
  </si>
  <si>
    <t>raw/assembled/sources/r11/results/formal-xlite-D-1000.shard-8.summary.json</t>
  </si>
  <si>
    <t>53b8bd477f362410e78a985f1ded6c07c4e4038bab1f63cd79254a629e0ca7ee</t>
  </si>
  <si>
    <t>raw/assembled/sources/r11/results/formal-xlite-D-1000.shard-9.summary.json</t>
  </si>
  <si>
    <t>668b949adc1571461926509f8fd04a8c4d14b2dc2b9c996e4864a89a06c64234</t>
  </si>
  <si>
    <t>raw/assembled/sources/r11/results/formal-xlite-D-1000.shard-10.summary.json</t>
  </si>
  <si>
    <t>af9ee454d3f4514dba3606301d6c937bb5ca63427d588f2870e13cbf29b47439</t>
  </si>
  <si>
    <t>raw/assembled/sources/r11/results/formal-xlite-D-1000.shard-11.summary.json</t>
  </si>
  <si>
    <t>5cedb62e3d819b0050ed0c479472a34e7c26f2bd72c1e2380e2ea4c655483bf1</t>
  </si>
  <si>
    <t>raw/assembled/sources/r11/results/formal-xlite-D-1000.shard-12.summary.json</t>
  </si>
  <si>
    <t>1c3b62ad01795aa8acb7d8837fb49df5281f63286dc0df6b28d2ec3f280d9dbe</t>
  </si>
  <si>
    <t>raw/assembled/sources/r11/results/formal-xlite-D-1000.shard-13.summary.json</t>
  </si>
  <si>
    <t>cc7ba0de27041ded437c23138bb5aa0497205f53605cfa060cbefd35f1cae82e</t>
  </si>
  <si>
    <t>raw/assembled/sources/r11/results/formal-xlite-D-1000.shard-14.summary.json</t>
  </si>
  <si>
    <t>4442592caf78ecb8c74d1a78ca3ddc6383d3c4334c39e15dc21ff2c14b01a909</t>
  </si>
  <si>
    <t>raw/assembled/sources/r11/results/formal-xlite-D-1000.shard-15.summary.json</t>
  </si>
  <si>
    <t>a21e3293c46159530e42f29a4ac9dbf2feb07a8cd340d686f596241eb9817150</t>
  </si>
  <si>
    <t>raw/assembled/sources/r11/results/formal-xlite-D-2000.shard-0.summary.json</t>
  </si>
  <si>
    <t>0074ecbd6d8debd1ee3d7f90e08572d97101b2d70f18ab62683fb34aeb3c4faa</t>
  </si>
  <si>
    <t>raw/assembled/sources/r11/results/formal-xlite-D-2000.shard-1.summary.json</t>
  </si>
  <si>
    <t>c67605c270fe3e067486eed17552fb55947dacc42907da85610ed697d125f1da</t>
  </si>
  <si>
    <t>raw/assembled/sources/r11/results/formal-xlite-D-2000.shard-2.summary.json</t>
  </si>
  <si>
    <t>0a48c78a0681315ebfad259ffda51ca77c748605906877364ed13401b76c79fa</t>
  </si>
  <si>
    <t>raw/assembled/sources/r11/results/formal-xlite-D-2000.shard-3.summary.json</t>
  </si>
  <si>
    <t>22a7f05f931df2bfd1d235362d835c9ca122303339a5968a26587401f80b054a</t>
  </si>
  <si>
    <t>raw/assembled/sources/r11/results/formal-xlite-D-2000.shard-4.summary.json</t>
  </si>
  <si>
    <t>075fb9bc1639a6208b913e9dc1fd77dd8d595a7bac3eb952ca5d148539f9d673</t>
  </si>
  <si>
    <t>raw/assembled/sources/r11/results/formal-xlite-D-2000.shard-5.summary.json</t>
  </si>
  <si>
    <t>c817c96f61b716f3644d6e7de880d689d268287bc868e6238b9954dcc5a512b5</t>
  </si>
  <si>
    <t>raw/assembled/sources/r11/results/formal-xlite-D-2000.shard-6.summary.json</t>
  </si>
  <si>
    <t>91282fd30aca676a033db8caed959be0a1cde546bffb4549a92847a0157a4514</t>
  </si>
  <si>
    <t>raw/assembled/sources/r11/results/formal-xlite-D-2000.shard-7.summary.json</t>
  </si>
  <si>
    <t>7ce40c36ddd611c73642648d2304857103baab58bd8c59fd558e59ee38c1150d</t>
  </si>
  <si>
    <t>raw/assembled/sources/r11/results/formal-xlite-D-2000.shard-8.summary.json</t>
  </si>
  <si>
    <t>725c77bb7b35bbd90d8ade3241185722110f8767c2e0b25c00d90e25d9dcdd4d</t>
  </si>
  <si>
    <t>raw/assembled/sources/r11/results/formal-xlite-D-2000.shard-9.summary.json</t>
  </si>
  <si>
    <t>b48a47852d2a3fae3160a79204200c60b8894515563866b782b498208fa7c0e2</t>
  </si>
  <si>
    <t>raw/assembled/sources/r11/results/formal-xlite-D-2000.shard-10.summary.json</t>
  </si>
  <si>
    <t>1eb437d495b4fb3d667f723164f75fdc38e40d57082c0c2dbfacc9953edc49a3</t>
  </si>
  <si>
    <t>raw/assembled/sources/r11/results/formal-xlite-D-2000.shard-11.summary.json</t>
  </si>
  <si>
    <t>f6ccf8c38c05e96b4d58aa3f8d097846d358fd7cdeb9fec8fe08d30cd7eba783</t>
  </si>
  <si>
    <t>raw/assembled/sources/r11/results/formal-xlite-D-2000.shard-12.summary.json</t>
  </si>
  <si>
    <t>56651691039e8ef773edd50c0d567864f1b69eb5c4daafdecb56e6896f8cf79b</t>
  </si>
  <si>
    <t>raw/assembled/sources/r11/results/formal-xlite-D-2000.shard-13.summary.json</t>
  </si>
  <si>
    <t>52531fb35039d4da2a5773fb2e1dffbe2fd555ca2ebce2d77c1f59872b1f2fa9</t>
  </si>
  <si>
    <t>raw/assembled/sources/r11/results/formal-xlite-D-2000.shard-14.summary.json</t>
  </si>
  <si>
    <t>007bf2367c32a42e361e121a7ac97e974d83b01a8553782c82e3cfa6580da77d</t>
  </si>
  <si>
    <t>raw/assembled/sources/r11/results/formal-xlite-D-2000.shard-15.summary.json</t>
  </si>
  <si>
    <t>b06d481ce0b8c5b13026af10647724a4037f869d25cb52b550c4f7179799ce8e</t>
  </si>
  <si>
    <t>raw/assembled/sources/r11/results/formal-xlite-D-5000.shard-0.summary.json</t>
  </si>
  <si>
    <t>0080eba61639f6c682182111ad6a0b49a72bdb4d7a0eaa3f6afcd0af9cf9153d</t>
  </si>
  <si>
    <t>raw/assembled/sources/r11/results/formal-xlite-D-5000.shard-1.summary.json</t>
  </si>
  <si>
    <t>8858b207a43e377d30ee250245e6d9958bc191ed44bce5407297c5fc2e0e9322</t>
  </si>
  <si>
    <t>raw/assembled/sources/r11/results/formal-xlite-D-5000.shard-2.summary.json</t>
  </si>
  <si>
    <t>9b2eddad94c4df69947fc5baeedaea67d8cae0ec5a2f1a2483de38c4700f3393</t>
  </si>
  <si>
    <t>raw/assembled/sources/r11/results/formal-xlite-D-5000.shard-3.summary.json</t>
  </si>
  <si>
    <t>723464f8edd1bcc5dc17152073d95b0243c88876f3b299af44932714cedbe87a</t>
  </si>
  <si>
    <t>raw/assembled/sources/r11/results/formal-xlite-D-5000.shard-4.summary.json</t>
  </si>
  <si>
    <t>f5ec25d44287a999f2e6dc862535530519e19aade5e1026dbcd6f82ab0a44cd9</t>
  </si>
  <si>
    <t>raw/assembled/sources/r11/results/formal-xlite-D-5000.shard-5.summary.json</t>
  </si>
  <si>
    <t>e6357cc03bb2149c11777efc235ded382cb71b3c806a5f5986a26f14b21fda2a</t>
  </si>
  <si>
    <t>raw/assembled/sources/r11/results/formal-xlite-D-5000.shard-6.summary.json</t>
  </si>
  <si>
    <t>e8a82da42959ca42c630aceb50466dbe2bd9799a70749c728a3f81b3c137b768</t>
  </si>
  <si>
    <t>raw/assembled/sources/r11/results/formal-xlite-D-5000.shard-7.summary.json</t>
  </si>
  <si>
    <t>33d6db22d83747b3e153f84f5dd2f1e8a099f221b0faa5ccb958cb410586eca5</t>
  </si>
  <si>
    <t>raw/assembled/sources/r11/results/formal-xlite-D-5000.shard-8.summary.json</t>
  </si>
  <si>
    <t>1a1ef0ce0442f9e606ef0764e07d643758f4ef1b4aff2ecf832596e79d6c36e2</t>
  </si>
  <si>
    <t>raw/assembled/sources/r11/results/formal-xlite-D-5000.shard-9.summary.json</t>
  </si>
  <si>
    <t>47a2201e6045e78d8e0ddcb29b948487339e6fd2b43ab8b4c61de708fcd0c3ac</t>
  </si>
  <si>
    <t>raw/assembled/sources/r11/results/formal-xlite-D-5000.shard-10.summary.json</t>
  </si>
  <si>
    <t>c77bf70d7bde74572baffed7d03980c1780c5ee8a17fa0d46a275ab05400d035</t>
  </si>
  <si>
    <t>raw/assembled/sources/r11/results/formal-xlite-D-5000.shard-11.summary.json</t>
  </si>
  <si>
    <t>233cc89e290ce2f3d8e28012de2b04bb1b600a932c234159a7b7cf51953a64f9</t>
  </si>
  <si>
    <t>raw/assembled/sources/r11/results/formal-xlite-D-5000.shard-12.summary.json</t>
  </si>
  <si>
    <t>ba95d002cbd0d980b4b628e35721f44f35f1f22b1954c98800ed929499352488</t>
  </si>
  <si>
    <t>raw/assembled/sources/r11/results/formal-xlite-D-5000.shard-13.summary.json</t>
  </si>
  <si>
    <t>c15cbaa01ac893a817dc368f47a64e9d9354e5bc0d9cb2a417d31a8b19d98411</t>
  </si>
  <si>
    <t>raw/assembled/sources/r11/results/formal-xlite-D-5000.shard-14.summary.json</t>
  </si>
  <si>
    <t>36f43a0d9741dfd9d4ae13745ea7d1ecddb2933cbb3173b38708497da9f43209</t>
  </si>
  <si>
    <t>raw/assembled/sources/r11/results/formal-xlite-D-5000.shard-15.summary.json</t>
  </si>
  <si>
    <t>84f66bde3d66d82d6c03e42f957166b78177a0159176ed0e2920cd5251ca06a3</t>
  </si>
  <si>
    <t>raw/assembled/sources/r11/results/formal-xlite-D-10000.shard-0.summary.json</t>
  </si>
  <si>
    <t>19af4ba03ee66b95b27166bec262bc292d55b880941d884335bdc08bacaf0b3b</t>
  </si>
  <si>
    <t>raw/assembled/sources/r11/results/formal-xlite-D-10000.shard-1.summary.json</t>
  </si>
  <si>
    <t>bad93e288c6caa42e9ad23e541c77eda992a2838cb848738b96f1116a5bee20b</t>
  </si>
  <si>
    <t>raw/assembled/sources/r11/results/formal-xlite-D-10000.shard-2.summary.json</t>
  </si>
  <si>
    <t>22986878e538ef07c6af94055eb77b8621f338f7f05ebcfadc23a12f9dfc146b</t>
  </si>
  <si>
    <t>raw/assembled/sources/r11/results/formal-xlite-D-10000.shard-3.summary.json</t>
  </si>
  <si>
    <t>69ba8f78588e48a4f87d8d555be62fc0a5ea61bf7a9cceb3adb63ed69fa0698e</t>
  </si>
  <si>
    <t>raw/assembled/sources/r11/results/formal-xlite-D-10000.shard-4.summary.json</t>
  </si>
  <si>
    <t>2df151da5ea936f1718151966c8051a5d2960e8db14545b2913b006c02f77198</t>
  </si>
  <si>
    <t>raw/assembled/sources/r11/results/formal-xlite-D-10000.shard-5.summary.json</t>
  </si>
  <si>
    <t>622280c49306402d46f78d394cb4782478049a862d7b4f2dba6610ddc0667a37</t>
  </si>
  <si>
    <t>raw/assembled/sources/r11/results/formal-xlite-D-10000.shard-6.summary.json</t>
  </si>
  <si>
    <t>fb92fb61dac75ab04eb0551d415fb630826795cab899010a035134838c94c7a0</t>
  </si>
  <si>
    <t>raw/assembled/sources/r11/results/formal-xlite-D-10000.shard-7.summary.json</t>
  </si>
  <si>
    <t>210a0efe58d0e3fc75a1e45a3aec3ead329dc60b522daff1c089d287f0fd43b9</t>
  </si>
  <si>
    <t>raw/assembled/sources/r11/results/formal-xlite-D-10000.shard-8.summary.json</t>
  </si>
  <si>
    <t>d4b692f0a4c84454850969cfcc79de098856237bd987ace9c3f498f29907c789</t>
  </si>
  <si>
    <t>raw/assembled/sources/r11/results/formal-xlite-D-10000.shard-9.summary.json</t>
  </si>
  <si>
    <t>47857104d6b180ff543f86d68d76167f2b0d6e75fe8a2638add944cfb4baa88f</t>
  </si>
  <si>
    <t>raw/assembled/sources/r11/results/formal-xlite-D-10000.shard-10.summary.json</t>
  </si>
  <si>
    <t>05f97ff61254d3cdcf66054cc5a1cb4524e8894b3278e2c93f11d4bc73e2762f</t>
  </si>
  <si>
    <t>raw/assembled/sources/r11/results/formal-xlite-D-10000.shard-11.summary.json</t>
  </si>
  <si>
    <t>0d1936fbe151ac5cdc303c581f59abd4a46650c44357448a972b914e71a7d884</t>
  </si>
  <si>
    <t>raw/assembled/sources/r11/results/formal-xlite-D-10000.shard-12.summary.json</t>
  </si>
  <si>
    <t>80d7c4ff9c426b7732f83db7466bd5cc639b921444bbb4f965b045682270c7b8</t>
  </si>
  <si>
    <t>raw/assembled/sources/r11/results/formal-xlite-D-10000.shard-13.summary.json</t>
  </si>
  <si>
    <t>85e770d947710ddef3441c04b602232b4d177b0bf2bd15221c797292c3331d19</t>
  </si>
  <si>
    <t>raw/assembled/sources/r11/results/formal-xlite-D-10000.shard-14.summary.json</t>
  </si>
  <si>
    <t>c5e4def8829f7f86390465ee2257691564624b4bd626bc17664051166b51d35c</t>
  </si>
  <si>
    <t>raw/assembled/sources/r11/results/formal-xlite-D-10000.shard-15.summary.json</t>
  </si>
  <si>
    <t>b8941f72c0769070bbe90655998747bdd5ef6fbc47368f5a3829086d97f2e6ec</t>
  </si>
  <si>
    <t>raw/assembled/sources/r11/results/formal-xlite-D-15000.shard-0.summary.json</t>
  </si>
  <si>
    <t>250c35d2ed28ca077aa17bc081daae70b8fdb2b130d550f3ef218c936ba440f8</t>
  </si>
  <si>
    <t>raw/assembled/sources/r11/results/formal-xlite-D-15000.shard-1.summary.json</t>
  </si>
  <si>
    <t>01ac31ad545381e776ade042e77c59abf2996b277e2ebebc5b7a9432d90d4143</t>
  </si>
  <si>
    <t>raw/assembled/sources/r11/results/formal-xlite-D-15000.shard-2.summary.json</t>
  </si>
  <si>
    <t>b52a9ccbbe8b8ea34aff3a8d99b6a327a29b3d658f5d1d9d59595848d8bee026</t>
  </si>
  <si>
    <t>raw/assembled/sources/r11/results/formal-xlite-D-15000.shard-3.summary.json</t>
  </si>
  <si>
    <t>89b4ea123da377b5975ab1742b28bbd433be7b04f88999a7fd82825a20c77c1d</t>
  </si>
  <si>
    <t>raw/assembled/sources/r11/results/formal-xlite-D-15000.shard-4.summary.json</t>
  </si>
  <si>
    <t>b6d860cf79ef5424bdcce8b9307eb1820729e45ec0bc33eff457278249941af9</t>
  </si>
  <si>
    <t>raw/assembled/sources/r11/results/formal-xlite-D-15000.shard-5.summary.json</t>
  </si>
  <si>
    <t>6b1a4290dd170f579d74a8feb4106e160ec4c5d83fd7e00682ca4687cbfc43d7</t>
  </si>
  <si>
    <t>raw/assembled/sources/r11/results/formal-xlite-D-15000.shard-6.summary.json</t>
  </si>
  <si>
    <t>0cd7e0b1ae13172931931e33f8b7191e175b3f97b13a2194934c87ec4433a640</t>
  </si>
  <si>
    <t>raw/assembled/sources/r11/results/formal-xlite-D-15000.shard-7.summary.json</t>
  </si>
  <si>
    <t>29cb5c3beeed1196dc74c7f664c4d9da7e60e25b750883c47c60469c0ee1d29e</t>
  </si>
  <si>
    <t>raw/assembled/sources/r11/results/formal-xlite-D-15000.shard-8.summary.json</t>
  </si>
  <si>
    <t>0ed4eecf9aee3e24f914d5be4ddc2bedd2d0c1291b733222d177c2e9bc527f96</t>
  </si>
  <si>
    <t>raw/assembled/sources/r11/results/formal-xlite-D-15000.shard-9.summary.json</t>
  </si>
  <si>
    <t>4b648bda011c5f7fa048c3e42b706d53a16621df0b8ee11c2534f0042294daeb</t>
  </si>
  <si>
    <t>raw/assembled/sources/r11/results/formal-xlite-D-15000.shard-10.summary.json</t>
  </si>
  <si>
    <t>9f0e5b455a005829f7ae9111456bd16a2c9b99c894cd27ffa7506c0f4d8ae2f9</t>
  </si>
  <si>
    <t>raw/assembled/sources/r11/results/formal-xlite-D-15000.shard-11.summary.json</t>
  </si>
  <si>
    <t>fbe7020658fa21023639bc79b32eafe76a1487abf45f32d38ef6d56c19d34891</t>
  </si>
  <si>
    <t>raw/assembled/sources/r11/results/formal-xlite-D-15000.shard-12.summary.json</t>
  </si>
  <si>
    <t>f67c6a1aebbb5e6ed6a0fd971f365835364ea023f0a1ef80f2c071e8ab8c6e63</t>
  </si>
  <si>
    <t>raw/assembled/sources/r11/results/formal-xlite-D-15000.shard-13.summary.json</t>
  </si>
  <si>
    <t>e6457a00e5ac477e0dc66d1e6ded3802b3cb5c18eec494244652ce54c4ecd939</t>
  </si>
  <si>
    <t>raw/assembled/sources/r11/results/formal-xlite-D-15000.shard-14.summary.json</t>
  </si>
  <si>
    <t>596d7c9a4c2bf41095480c0fa02b58b35d52874ab23e8c05f76167f265664241</t>
  </si>
  <si>
    <t>raw/assembled/sources/r11/results/formal-xlite-D-15000.shard-15.summary.json</t>
  </si>
  <si>
    <t>dca5d69f917563531d9be4761b0b3bd5e5fca0785e1d0acfe4bfe4fbb36e354e</t>
  </si>
  <si>
    <t>raw/assembled/sources/r11/results/formal-xlite-D-18000.shard-0.summary.json</t>
  </si>
  <si>
    <t>0d9f7ea946ce76b1ddaf76710c1933622677eb1a2027338babd94f0618deea53</t>
  </si>
  <si>
    <t>raw/assembled/sources/r11/results/formal-xlite-D-18000.shard-1.summary.json</t>
  </si>
  <si>
    <t>713809f47cd5b83cb96d56291436dfdaa106b304a8add2ef07eecad6ec6f7b81</t>
  </si>
  <si>
    <t>raw/assembled/sources/r11/results/formal-xlite-D-18000.shard-2.summary.json</t>
  </si>
  <si>
    <t>3e837fd3afea253a4478a7c208dc353d026a73949832b83a4fbaed6894df0490</t>
  </si>
  <si>
    <t>raw/assembled/sources/r11/results/formal-xlite-D-18000.shard-3.summary.json</t>
  </si>
  <si>
    <t>88992e37a48d26d7fa188870ba08cc7cf1944643acda6069ecdc5bd14afa313d</t>
  </si>
  <si>
    <t>raw/assembled/sources/r11/results/formal-xlite-D-18000.shard-4.summary.json</t>
  </si>
  <si>
    <t>3a1e5ddb1ebd8b0c3e64a863b9ac6df2d4e1c24ab300e779a8143ea66ac02a8f</t>
  </si>
  <si>
    <t>raw/assembled/sources/r11/results/formal-xlite-D-18000.shard-5.summary.json</t>
  </si>
  <si>
    <t>be5c4237d2ff58b687f20eae38f7d9ed48bea111e6465f628b541cd71615b4a4</t>
  </si>
  <si>
    <t>raw/assembled/sources/r11/results/formal-xlite-D-18000.shard-6.summary.json</t>
  </si>
  <si>
    <t>e6fa8e1a04852cb86a3babf83f5a44b4c2a31fe8033523b3b3ab402a98ba7d9e</t>
  </si>
  <si>
    <t>raw/assembled/sources/r11/results/formal-xlite-D-18000.shard-7.summary.json</t>
  </si>
  <si>
    <t>d4463533219edabbea02e901b246d4ef8346e65428e0d89f6a16ff7f7834e006</t>
  </si>
  <si>
    <t>raw/assembled/sources/r11/results/formal-xlite-D-18000.shard-8.summary.json</t>
  </si>
  <si>
    <t>c9849060e099246b7a6f82f82ba68b4967215b6ea82de651229ede9f67f585a1</t>
  </si>
  <si>
    <t>raw/assembled/sources/r11/results/formal-xlite-D-18000.shard-9.summary.json</t>
  </si>
  <si>
    <t>ab39e42356df05243f56b54a32d5c1e7342dc985f3a881fc7f15380a4b6d81b1</t>
  </si>
  <si>
    <t>raw/assembled/sources/r11/results/formal-xlite-D-18000.shard-10.summary.json</t>
  </si>
  <si>
    <t>e1d86e8bded4488bfb1e8cfe1cb9c2e8fb9f72e5f13b8052f162ce0bdab5e180</t>
  </si>
  <si>
    <t>raw/assembled/sources/r11/results/formal-xlite-D-18000.shard-11.summary.json</t>
  </si>
  <si>
    <t>074ed33d683ad1eb4a0a29365808cdb43c3e946f0f924e2f823a112c31f002ee</t>
  </si>
  <si>
    <t>raw/assembled/sources/r11/results/formal-xlite-D-18000.shard-12.summary.json</t>
  </si>
  <si>
    <t>d812a78126a0d28248d004f0f488893201f4844c740ba42d4b93133dce0cd07b</t>
  </si>
  <si>
    <t>raw/assembled/sources/r11/results/formal-xlite-D-18000.shard-13.summary.json</t>
  </si>
  <si>
    <t>7e6f1ee4c37243dfda2a0a063b267d115112f8b5af020f117730b9eeda4781ab</t>
  </si>
  <si>
    <t>raw/assembled/sources/r11/results/formal-xlite-D-18000.shard-14.summary.json</t>
  </si>
  <si>
    <t>0222352bb0ee2a02b83c673572a8d72cef018e5390448a55191f2825a53dad3c</t>
  </si>
  <si>
    <t>raw/assembled/sources/r11/results/formal-xlite-D-18000.shard-15.summary.json</t>
  </si>
  <si>
    <t>1338787ab02cb47818e970dbeb279b3b1b23c5f62984a036938e979917dd6901</t>
  </si>
  <si>
    <t>项目</t>
  </si>
  <si>
    <t>数值/公式</t>
  </si>
  <si>
    <t>说明</t>
  </si>
  <si>
    <t>仅报告展示名改变；原测试二进制名xlite，源证据文件名不改。</t>
  </si>
  <si>
    <t>数据范围</t>
  </si>
  <si>
    <t>单机6组×6档，共36正式阶段</t>
  </si>
  <si>
    <t>A/E/B为5s输出，C/F/D为60s输出；每组1k、2k、5k、10k、15k、18k。</t>
  </si>
  <si>
    <t>单流tok/s</t>
  </si>
  <si>
    <t>1000 / 每token间隔ms</t>
  </si>
  <si>
    <t>20对应A/C；50对应E/F；100对应B/D。配置速率，不是系统吞吐。</t>
  </si>
  <si>
    <t>总输出TPS</t>
  </si>
  <si>
    <t>成功RPS × 每请求输出token</t>
  </si>
  <si>
    <t>batch=1的mock约定token；不是生产模型实测分词速度。</t>
  </si>
  <si>
    <t>TPM</t>
  </si>
  <si>
    <t>输出TPS × 60</t>
  </si>
  <si>
    <t>整轮/稳态TPM在全档表分别给出。</t>
  </si>
  <si>
    <t>TTFT超出固定等待</t>
  </si>
  <si>
    <t>TTFT分片P50/P90/P99 − 500ms</t>
  </si>
  <si>
    <t>没有测净网关TTFT；包括mock调度、网络、客户端、网关等。</t>
  </si>
  <si>
    <t>流时长减理论值</t>
  </si>
  <si>
    <t>HTTP流时长分位数 − (500+输出token×间隔ms)</t>
  </si>
  <si>
    <t>遵从原模板；首帧后实际通常只有输出token−1个间隔，负值保留。</t>
  </si>
  <si>
    <t>网络接收批间隔</t>
  </si>
  <si>
    <t>当前k6在完成后分析体，没有逐网络帧到达时刻，不能填网关批间隔时延。</t>
  </si>
  <si>
    <t>mock生成间隔</t>
  </si>
  <si>
    <t>chunk_interval_ms − 配置间隔ms</t>
  </si>
  <si>
    <t>从mock帧内生成时间戳计算，最多64个均匀间隔点/样本，非网络到达间隔。</t>
  </si>
  <si>
    <t>分位数</t>
  </si>
  <si>
    <t>16个分片分位数的最小–最大</t>
  </si>
  <si>
    <t>不能对分片分位数取平均冒充总体分位数；全档表提供可计算的数值上下界。</t>
  </si>
  <si>
    <t>平均RPS</t>
  </si>
  <si>
    <t>整轮完成请求数 / 原统计时间</t>
  </si>
  <si>
    <t>包括爬坡与收尾，主表另列稳态成功RPS，不能混用。</t>
  </si>
  <si>
    <t>成功率</t>
  </si>
  <si>
    <t>1 − http_req_failed</t>
  </si>
  <si>
    <t>36正式阶段均有效，记录HTTP/传输/非200/采样体错误全0；体检查只覆盖采样请求。</t>
  </si>
  <si>
    <t>体采样</t>
  </si>
  <si>
    <t>配置50%；100%语义冒烟另行通过</t>
  </si>
  <si>
    <t>主表正式数据不含冒烟/容量预检；全档给出实际采样率。</t>
  </si>
  <si>
    <t>A/B/C/E=r10；D/F=r11</t>
  </si>
  <si>
    <t>不是单次不中断执行；每组完整曲线内部配置固定。</t>
  </si>
  <si>
    <t>客户端GC</t>
  </si>
  <si>
    <t>均GOGC400；D/F加GOMEMLIMIT=9GiB/片</t>
  </si>
  <si>
    <t>12GiB/片硬限制未变，16片合计192GiB。</t>
  </si>
  <si>
    <t>CPU配额</t>
  </si>
  <si>
    <t>网关28 / 客户端56 / mock28</t>
  </si>
  <si>
    <t>CPU掩码网关0-15,64-79；客户端16-47,80-111；mock48-63,112-127。</t>
  </si>
  <si>
    <t>内存硬限制</t>
  </si>
  <si>
    <t>网关64 / 客户端192 / mock64 GiB</t>
  </si>
  <si>
    <t>同机内部Docker bridge，无发布端口，上游h2c。</t>
  </si>
  <si>
    <t>版本</t>
  </si>
  <si>
    <t>ad4e65342d00f07f2ec5cc93224089e28084b44a / 0.5.3</t>
  </si>
  <si>
    <t>旧钉版测量，不是最新源代码性能。</t>
  </si>
  <si>
    <t>正式请求数</t>
  </si>
  <si>
    <t>36正式阶段合计，不含直连容量预检。</t>
  </si>
  <si>
    <t>正式体采样数</t>
  </si>
  <si>
    <t>配置50%，实际统计按各阶段计数给出。</t>
  </si>
  <si>
    <t>模板路径</t>
  </si>
  <si>
    <t>/Users/xinference/Sync/PT/pk/性能测试指标对照表_xg_vs_newapi_data.xlsx</t>
  </si>
  <si>
    <t>只读使用布局与指标定义，没有改写原文件；原历史对照数字不带入。</t>
  </si>
  <si>
    <t>模板SHA256</t>
  </si>
  <si>
    <t>4a5dc707d94d6eba4bc18cbd316692d29bfba2071131fcdd1938febf4d1f023d</t>
  </si>
  <si>
    <t>用于验证原模板未改。</t>
  </si>
  <si>
    <t>原始数据目录</t>
  </si>
  <si>
    <t>/Users/xinference/Sync/PT/pk/1013/retest-single-xlite-af50-details</t>
  </si>
  <si>
    <t>分片原始指标表逐份记录576个正式摘要的相对路径与SHA256。</t>
  </si>
  <si>
    <t>有效阶段总数</t>
  </si>
  <si>
    <t>36正式+6直连预检均有效、672摘要已独立复算；本表仅含36正式/576摘要。</t>
  </si>
  <si>
    <t>原始证据包r10</t>
  </si>
  <si>
    <t>3a5437d2442c4417aa3deb2cf188d50fc7f5b4e2c8c165a7e2601e7e1f29b606</t>
  </si>
  <si>
    <t>包SHA256；保留r10失败预检。</t>
  </si>
  <si>
    <t>原始证据包r11</t>
  </si>
  <si>
    <t>3365566e33ab813c65484f1036edf04267b84b709025f3eac8139ad196a80e22</t>
  </si>
  <si>
    <t>包SHA256；r11的DONE记录14阶段/12正式。</t>
  </si>
  <si>
    <t>缺失档位/模式</t>
  </si>
  <si>
    <t>集群、500VU、20k及以上：未测</t>
  </si>
  <si>
    <t>不将旧数据当新数据，不外推、不插值。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</si>
</sst>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1F4E79"/>
      <sz val="11"/>
      <name val="Calibri"/>
    </font>
    <font>
      <b/>
      <color rgb="FFFFFFFF"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1FB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0"/>
  <sheetViews>
    <sheetView workbookViewId="0" zoomScale="8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6" customWidth="1"/>
    <col min="4" max="4" width="12" customWidth="1"/>
    <col min="5" max="7" width="24" customWidth="1"/>
    <col min="8" max="8" width="14" customWidth="1"/>
    <col min="9" max="9" width="16" customWidth="1"/>
    <col min="10" max="12" width="25" customWidth="1"/>
    <col min="13" max="15" width="15" customWidth="1"/>
    <col min="16" max="16" width="23" customWidth="1"/>
    <col min="17" max="17" width="18" customWidth="1"/>
    <col min="18" max="18" width="23" customWidth="1"/>
  </cols>
  <sheetData>
    <row r="1" ht="34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6" customHeight="1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40" customHeight="1" spans="1: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44" customHeight="1" spans="1:1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/>
      <c r="G4" s="3"/>
      <c r="H4" s="3" t="s">
        <v>8</v>
      </c>
      <c r="I4" s="3" t="s">
        <v>9</v>
      </c>
      <c r="J4" s="3" t="s">
        <v>10</v>
      </c>
      <c r="K4" s="3"/>
      <c r="L4" s="3"/>
      <c r="M4" s="3" t="s">
        <v>11</v>
      </c>
      <c r="N4" s="3"/>
      <c r="O4" s="3"/>
      <c r="P4" s="3" t="s">
        <v>12</v>
      </c>
      <c r="Q4" s="3" t="s">
        <v>13</v>
      </c>
      <c r="R4" s="3" t="s">
        <v>14</v>
      </c>
    </row>
    <row r="5" ht="28" customHeight="1" spans="1:18" x14ac:dyDescent="0.25">
      <c r="A5" s="3"/>
      <c r="B5" s="3"/>
      <c r="C5" s="3"/>
      <c r="D5" s="3"/>
      <c r="E5" s="3" t="s">
        <v>15</v>
      </c>
      <c r="F5" s="3" t="s">
        <v>16</v>
      </c>
      <c r="G5" s="3" t="s">
        <v>17</v>
      </c>
      <c r="H5" s="3"/>
      <c r="I5" s="3"/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/>
      <c r="Q5" s="3"/>
      <c r="R5" s="3"/>
    </row>
    <row r="6" ht="30" customHeight="1" spans="1:18" x14ac:dyDescent="0.25">
      <c r="A6" s="4" t="s">
        <v>21</v>
      </c>
      <c r="B6" s="4" t="s">
        <v>22</v>
      </c>
      <c r="C6" s="4">
        <v>20</v>
      </c>
      <c r="D6" s="4">
        <v>1000</v>
      </c>
      <c r="E6" s="4" t="str">
        <f>TEXT('单机全档'!T2,"0.000")&amp;"–"&amp;TEXT('单机全档'!U2,"0.000")</f>
        <v>4.443–4.790</v>
      </c>
      <c r="F6" s="4" t="str">
        <f>TEXT('单机全档'!V2,"0.000")&amp;"–"&amp;TEXT('单机全档'!W2,"0.000")</f>
        <v>11.228–12.417</v>
      </c>
      <c r="G6" s="4" t="str">
        <f>TEXT('单机全档'!X2,"0.000")&amp;"–"&amp;TEXT('单机全档'!Y2,"0.000")</f>
        <v>20.392–22.275</v>
      </c>
      <c r="H6" s="5">
        <f>'单机全档'!M2</f>
        <v>1</v>
      </c>
      <c r="I6" s="6">
        <f>'单机全档'!N2</f>
        <v>173.63294552835683</v>
      </c>
      <c r="J6" s="4" t="str">
        <f>TEXT('单机全档'!Z2,"0.000")&amp;"–"&amp;TEXT('单机全档'!AA2,"0.000")</f>
        <v>-45.667–-45.412</v>
      </c>
      <c r="K6" s="4" t="str">
        <f>TEXT('单机全档'!AB2,"0.000")&amp;"–"&amp;TEXT('单机全档'!AC2,"0.000")</f>
        <v>-40.438–-39.832</v>
      </c>
      <c r="L6" s="4" t="str">
        <f>TEXT('单机全档'!AD2,"0.000")&amp;"–"&amp;TEXT('单机全档'!AE2,"0.000")</f>
        <v>-32.527–-30.786</v>
      </c>
      <c r="M6" s="4" t="s">
        <v>23</v>
      </c>
      <c r="N6" s="4" t="s">
        <v>23</v>
      </c>
      <c r="O6" s="4" t="s">
        <v>23</v>
      </c>
      <c r="P6" s="7">
        <f>I6*'单机全档'!E2</f>
        <v>17363.294552835683</v>
      </c>
      <c r="Q6" s="6">
        <f>'单机全档'!O2</f>
        <v>183.24000000000004</v>
      </c>
      <c r="R6" s="7">
        <f>Q6*'单机全档'!E2</f>
        <v>18324.000000000004</v>
      </c>
    </row>
    <row r="7" ht="30" customHeight="1" spans="1:18" x14ac:dyDescent="0.25">
      <c r="A7" s="4"/>
      <c r="B7" s="4"/>
      <c r="C7" s="4"/>
      <c r="D7" s="4">
        <v>2000</v>
      </c>
      <c r="E7" s="4" t="str">
        <f>TEXT('单机全档'!T3,"0.000")&amp;"–"&amp;TEXT('单机全档'!U3,"0.000")</f>
        <v>3.449–3.535</v>
      </c>
      <c r="F7" s="4" t="str">
        <f>TEXT('单机全档'!V3,"0.000")&amp;"–"&amp;TEXT('单机全档'!W3,"0.000")</f>
        <v>6.315–6.487</v>
      </c>
      <c r="G7" s="4" t="str">
        <f>TEXT('单机全档'!X3,"0.000")&amp;"–"&amp;TEXT('单机全档'!Y3,"0.000")</f>
        <v>9.544–10.324</v>
      </c>
      <c r="H7" s="5">
        <f>'单机全档'!M3</f>
        <v>1</v>
      </c>
      <c r="I7" s="6">
        <f>'单机全档'!N3</f>
        <v>347.2829734867364</v>
      </c>
      <c r="J7" s="4" t="str">
        <f>TEXT('单机全档'!Z3,"0.000")&amp;"–"&amp;TEXT('单机全档'!AA3,"0.000")</f>
        <v>-46.242–-46.164</v>
      </c>
      <c r="K7" s="4" t="str">
        <f>TEXT('单机全档'!AB3,"0.000")&amp;"–"&amp;TEXT('单机全档'!AC3,"0.000")</f>
        <v>-43.496–-43.281</v>
      </c>
      <c r="L7" s="4" t="str">
        <f>TEXT('单机全档'!AD3,"0.000")&amp;"–"&amp;TEXT('单机全档'!AE3,"0.000")</f>
        <v>-40.675–-39.989</v>
      </c>
      <c r="M7" s="4" t="s">
        <v>23</v>
      </c>
      <c r="N7" s="4" t="s">
        <v>23</v>
      </c>
      <c r="O7" s="4" t="s">
        <v>23</v>
      </c>
      <c r="P7" s="7">
        <f>I7*'单机全档'!E3</f>
        <v>34728.297348673645</v>
      </c>
      <c r="Q7" s="6">
        <f>'单机全档'!O3</f>
        <v>366.4666666666666</v>
      </c>
      <c r="R7" s="7">
        <f>Q7*'单机全档'!E3</f>
        <v>36646.66666666666</v>
      </c>
    </row>
    <row r="8" ht="30" customHeight="1" spans="1:18" x14ac:dyDescent="0.25">
      <c r="A8" s="4"/>
      <c r="B8" s="4"/>
      <c r="C8" s="4"/>
      <c r="D8" s="4">
        <v>5000</v>
      </c>
      <c r="E8" s="4" t="str">
        <f>TEXT('单机全档'!T4,"0.000")&amp;"–"&amp;TEXT('单机全档'!U4,"0.000")</f>
        <v>2.534–2.574</v>
      </c>
      <c r="F8" s="4" t="str">
        <f>TEXT('单机全档'!V4,"0.000")&amp;"–"&amp;TEXT('单机全档'!W4,"0.000")</f>
        <v>3.739–3.804</v>
      </c>
      <c r="G8" s="4" t="str">
        <f>TEXT('单机全档'!X4,"0.000")&amp;"–"&amp;TEXT('单机全档'!Y4,"0.000")</f>
        <v>5.244–5.553</v>
      </c>
      <c r="H8" s="5">
        <f>'单机全档'!M4</f>
        <v>1</v>
      </c>
      <c r="I8" s="6">
        <f>'单机全档'!N4</f>
        <v>868.3082234688102</v>
      </c>
      <c r="J8" s="4" t="str">
        <f>TEXT('单机全档'!Z4,"0.000")&amp;"–"&amp;TEXT('单机全档'!AA4,"0.000")</f>
        <v>-46.752–-46.712</v>
      </c>
      <c r="K8" s="4" t="str">
        <f>TEXT('单机全档'!AB4,"0.000")&amp;"–"&amp;TEXT('单机全档'!AC4,"0.000")</f>
        <v>-45.379–-45.292</v>
      </c>
      <c r="L8" s="4" t="str">
        <f>TEXT('单机全档'!AD4,"0.000")&amp;"–"&amp;TEXT('单机全档'!AE4,"0.000")</f>
        <v>-43.811–-43.576</v>
      </c>
      <c r="M8" s="4" t="s">
        <v>23</v>
      </c>
      <c r="N8" s="4" t="s">
        <v>23</v>
      </c>
      <c r="O8" s="4" t="s">
        <v>23</v>
      </c>
      <c r="P8" s="7">
        <f>I8*'单机全档'!E4</f>
        <v>86830.82234688102</v>
      </c>
      <c r="Q8" s="6">
        <f>'单机全档'!O4</f>
        <v>916.3633333333331</v>
      </c>
      <c r="R8" s="7">
        <f>Q8*'单机全档'!E4</f>
        <v>91636.33333333331</v>
      </c>
    </row>
    <row r="9" ht="30" customHeight="1" spans="1:18" x14ac:dyDescent="0.25">
      <c r="A9" s="4"/>
      <c r="B9" s="4"/>
      <c r="C9" s="4"/>
      <c r="D9" s="4">
        <v>10000</v>
      </c>
      <c r="E9" s="4" t="str">
        <f>TEXT('单机全档'!T5,"0.000")&amp;"–"&amp;TEXT('单机全档'!U5,"0.000")</f>
        <v>2.390–2.411</v>
      </c>
      <c r="F9" s="4" t="str">
        <f>TEXT('单机全档'!V5,"0.000")&amp;"–"&amp;TEXT('单机全档'!W5,"0.000")</f>
        <v>3.546–3.594</v>
      </c>
      <c r="G9" s="4" t="str">
        <f>TEXT('单机全档'!X5,"0.000")&amp;"–"&amp;TEXT('单机全档'!Y5,"0.000")</f>
        <v>5.270–5.633</v>
      </c>
      <c r="H9" s="5">
        <f>'单机全档'!M5</f>
        <v>1</v>
      </c>
      <c r="I9" s="6">
        <f>'单机全档'!N5</f>
        <v>1736.4420079372726</v>
      </c>
      <c r="J9" s="4" t="str">
        <f>TEXT('单机全档'!Z5,"0.000")&amp;"–"&amp;TEXT('单机全档'!AA5,"0.000")</f>
        <v>-46.703–-46.666</v>
      </c>
      <c r="K9" s="4" t="str">
        <f>TEXT('单机全档'!AB5,"0.000")&amp;"–"&amp;TEXT('单机全档'!AC5,"0.000")</f>
        <v>-45.351–-45.305</v>
      </c>
      <c r="L9" s="4" t="str">
        <f>TEXT('单机全档'!AD5,"0.000")&amp;"–"&amp;TEXT('单机全档'!AE5,"0.000")</f>
        <v>-43.640–-43.465</v>
      </c>
      <c r="M9" s="4" t="s">
        <v>23</v>
      </c>
      <c r="N9" s="4" t="s">
        <v>23</v>
      </c>
      <c r="O9" s="4" t="s">
        <v>23</v>
      </c>
      <c r="P9" s="7">
        <f>I9*'单机全档'!E5</f>
        <v>173644.20079372727</v>
      </c>
      <c r="Q9" s="6">
        <f>'单机全档'!O5</f>
        <v>1832.6399999999996</v>
      </c>
      <c r="R9" s="7">
        <f>Q9*'单机全档'!E5</f>
        <v>183263.99999999997</v>
      </c>
    </row>
    <row r="10" ht="30" customHeight="1" spans="1:18" x14ac:dyDescent="0.25">
      <c r="A10" s="4"/>
      <c r="B10" s="4"/>
      <c r="C10" s="4"/>
      <c r="D10" s="4">
        <v>15000</v>
      </c>
      <c r="E10" s="4" t="str">
        <f>TEXT('单机全档'!T6,"0.000")&amp;"–"&amp;TEXT('单机全档'!U6,"0.000")</f>
        <v>2.370–2.402</v>
      </c>
      <c r="F10" s="4" t="str">
        <f>TEXT('单机全档'!V6,"0.000")&amp;"–"&amp;TEXT('单机全档'!W6,"0.000")</f>
        <v>3.588–3.643</v>
      </c>
      <c r="G10" s="4" t="str">
        <f>TEXT('单机全档'!X6,"0.000")&amp;"–"&amp;TEXT('单机全档'!Y6,"0.000")</f>
        <v>6.086–6.427</v>
      </c>
      <c r="H10" s="5">
        <f>'单机全档'!M6</f>
        <v>1</v>
      </c>
      <c r="I10" s="6">
        <f>'单机全档'!N6</f>
        <v>2604.4613324338916</v>
      </c>
      <c r="J10" s="4" t="str">
        <f>TEXT('单机全档'!Z6,"0.000")&amp;"–"&amp;TEXT('单机全档'!AA6,"0.000")</f>
        <v>-46.620–-46.585</v>
      </c>
      <c r="K10" s="4" t="str">
        <f>TEXT('单机全档'!AB6,"0.000")&amp;"–"&amp;TEXT('单机全档'!AC6,"0.000")</f>
        <v>-45.230–-45.174</v>
      </c>
      <c r="L10" s="4" t="str">
        <f>TEXT('单机全档'!AD6,"0.000")&amp;"–"&amp;TEXT('单机全档'!AE6,"0.000")</f>
        <v>-42.941–-42.539</v>
      </c>
      <c r="M10" s="4" t="s">
        <v>23</v>
      </c>
      <c r="N10" s="4" t="s">
        <v>23</v>
      </c>
      <c r="O10" s="4" t="s">
        <v>23</v>
      </c>
      <c r="P10" s="7">
        <f>I10*'单机全档'!E6</f>
        <v>260446.13324338917</v>
      </c>
      <c r="Q10" s="6">
        <f>'单机全档'!O6</f>
        <v>2748.8033333333324</v>
      </c>
      <c r="R10" s="7">
        <f>Q10*'单机全档'!E6</f>
        <v>274880.33333333326</v>
      </c>
    </row>
    <row r="11" ht="30" customHeight="1" spans="1:18" x14ac:dyDescent="0.25">
      <c r="A11" s="4"/>
      <c r="B11" s="4"/>
      <c r="C11" s="4"/>
      <c r="D11" s="4">
        <v>18000</v>
      </c>
      <c r="E11" s="4" t="str">
        <f>TEXT('单机全档'!T7,"0.000")&amp;"–"&amp;TEXT('单机全档'!U7,"0.000")</f>
        <v>2.367–2.394</v>
      </c>
      <c r="F11" s="4" t="str">
        <f>TEXT('单机全档'!V7,"0.000")&amp;"–"&amp;TEXT('单机全档'!W7,"0.000")</f>
        <v>3.532–3.574</v>
      </c>
      <c r="G11" s="4" t="str">
        <f>TEXT('单机全档'!X7,"0.000")&amp;"–"&amp;TEXT('单机全档'!Y7,"0.000")</f>
        <v>8.348–9.521</v>
      </c>
      <c r="H11" s="5">
        <f>'单机全档'!M7</f>
        <v>1</v>
      </c>
      <c r="I11" s="6">
        <f>'单机全档'!N7</f>
        <v>3125.2536178686905</v>
      </c>
      <c r="J11" s="4" t="str">
        <f>TEXT('单机全档'!Z7,"0.000")&amp;"–"&amp;TEXT('单机全档'!AA7,"0.000")</f>
        <v>-46.576–-46.544</v>
      </c>
      <c r="K11" s="4" t="str">
        <f>TEXT('单机全档'!AB7,"0.000")&amp;"–"&amp;TEXT('单机全档'!AC7,"0.000")</f>
        <v>-45.233–-45.168</v>
      </c>
      <c r="L11" s="4" t="str">
        <f>TEXT('单机全档'!AD7,"0.000")&amp;"–"&amp;TEXT('单机全档'!AE7,"0.000")</f>
        <v>-41.160–-40.048</v>
      </c>
      <c r="M11" s="4" t="s">
        <v>23</v>
      </c>
      <c r="N11" s="4" t="s">
        <v>23</v>
      </c>
      <c r="O11" s="4" t="s">
        <v>23</v>
      </c>
      <c r="P11" s="7">
        <f>I11*'单机全档'!E7</f>
        <v>312525.36178686906</v>
      </c>
      <c r="Q11" s="6">
        <f>'单机全档'!O7</f>
        <v>3298.396666666667</v>
      </c>
      <c r="R11" s="7">
        <f>Q11*'单机全档'!E7</f>
        <v>329839.6666666667</v>
      </c>
    </row>
    <row r="12" ht="30" customHeight="1" spans="1:18" x14ac:dyDescent="0.25">
      <c r="A12" s="4"/>
      <c r="B12" s="4"/>
      <c r="C12" s="4">
        <v>50</v>
      </c>
      <c r="D12" s="4">
        <v>1000</v>
      </c>
      <c r="E12" s="4" t="str">
        <f>TEXT('单机全档'!T8,"0.000")&amp;"–"&amp;TEXT('单机全档'!U8,"0.000")</f>
        <v>3.250–3.357</v>
      </c>
      <c r="F12" s="4" t="str">
        <f>TEXT('单机全档'!V8,"0.000")&amp;"–"&amp;TEXT('单机全档'!W8,"0.000")</f>
        <v>5.568–5.839</v>
      </c>
      <c r="G12" s="4" t="str">
        <f>TEXT('单机全档'!X8,"0.000")&amp;"–"&amp;TEXT('单机全档'!Y8,"0.000")</f>
        <v>8.167–9.075</v>
      </c>
      <c r="H12" s="5">
        <f>'单机全档'!M8</f>
        <v>1</v>
      </c>
      <c r="I12" s="6">
        <f>'单机全档'!N8</f>
        <v>172.55178287086937</v>
      </c>
      <c r="J12" s="4" t="str">
        <f>TEXT('单机全档'!Z8,"0.000")&amp;"–"&amp;TEXT('单机全档'!AA8,"0.000")</f>
        <v>-16.369–-16.195</v>
      </c>
      <c r="K12" s="4" t="str">
        <f>TEXT('单机全档'!AB8,"0.000")&amp;"–"&amp;TEXT('单机全档'!AC8,"0.000")</f>
        <v>-14.069–-13.818</v>
      </c>
      <c r="L12" s="4" t="str">
        <f>TEXT('单机全档'!AD8,"0.000")&amp;"–"&amp;TEXT('单机全档'!AE8,"0.000")</f>
        <v>-11.514–-10.792</v>
      </c>
      <c r="M12" s="4" t="s">
        <v>23</v>
      </c>
      <c r="N12" s="4" t="s">
        <v>23</v>
      </c>
      <c r="O12" s="4" t="s">
        <v>23</v>
      </c>
      <c r="P12" s="7">
        <f>I12*'单机全档'!E8</f>
        <v>43137.945717717346</v>
      </c>
      <c r="Q12" s="6">
        <f>'单机全档'!O8</f>
        <v>182.08999999999995</v>
      </c>
      <c r="R12" s="7">
        <f>Q12*'单机全档'!E8</f>
        <v>45522.499999999985</v>
      </c>
    </row>
    <row r="13" ht="30" customHeight="1" spans="1:18" x14ac:dyDescent="0.25">
      <c r="A13" s="4"/>
      <c r="B13" s="4"/>
      <c r="C13" s="4"/>
      <c r="D13" s="4">
        <v>2000</v>
      </c>
      <c r="E13" s="4" t="str">
        <f>TEXT('单机全档'!T9,"0.000")&amp;"–"&amp;TEXT('单机全档'!U9,"0.000")</f>
        <v>2.631–2.667</v>
      </c>
      <c r="F13" s="4" t="str">
        <f>TEXT('单机全档'!V9,"0.000")&amp;"–"&amp;TEXT('单机全档'!W9,"0.000")</f>
        <v>3.825–3.915</v>
      </c>
      <c r="G13" s="4" t="str">
        <f>TEXT('单机全档'!X9,"0.000")&amp;"–"&amp;TEXT('单机全档'!Y9,"0.000")</f>
        <v>5.309–5.638</v>
      </c>
      <c r="H13" s="5">
        <f>'单机全档'!M9</f>
        <v>1</v>
      </c>
      <c r="I13" s="6">
        <f>'单机全档'!N9</f>
        <v>345.1059836742325</v>
      </c>
      <c r="J13" s="4" t="str">
        <f>TEXT('单机全档'!Z9,"0.000")&amp;"–"&amp;TEXT('单机全档'!AA9,"0.000")</f>
        <v>-16.696–-16.654</v>
      </c>
      <c r="K13" s="4" t="str">
        <f>TEXT('单机全档'!AB9,"0.000")&amp;"–"&amp;TEXT('单机全档'!AC9,"0.000")</f>
        <v>-15.304–-15.210</v>
      </c>
      <c r="L13" s="4" t="str">
        <f>TEXT('单机全档'!AD9,"0.000")&amp;"–"&amp;TEXT('单机全档'!AE9,"0.000")</f>
        <v>-13.817–-13.554</v>
      </c>
      <c r="M13" s="4" t="s">
        <v>23</v>
      </c>
      <c r="N13" s="4" t="s">
        <v>23</v>
      </c>
      <c r="O13" s="4" t="s">
        <v>23</v>
      </c>
      <c r="P13" s="7">
        <f>I13*'单机全档'!E9</f>
        <v>86276.49591855812</v>
      </c>
      <c r="Q13" s="6">
        <f>'单机全档'!O9</f>
        <v>364.18666666666655</v>
      </c>
      <c r="R13" s="7">
        <f>Q13*'单机全档'!E9</f>
        <v>91046.66666666664</v>
      </c>
    </row>
    <row r="14" ht="30" customHeight="1" spans="1:18" x14ac:dyDescent="0.25">
      <c r="A14" s="4"/>
      <c r="B14" s="4"/>
      <c r="C14" s="4"/>
      <c r="D14" s="4">
        <v>5000</v>
      </c>
      <c r="E14" s="4" t="str">
        <f>TEXT('单机全档'!T10,"0.000")&amp;"–"&amp;TEXT('单机全档'!U10,"0.000")</f>
        <v>1.843–1.874</v>
      </c>
      <c r="F14" s="4" t="str">
        <f>TEXT('单机全档'!V10,"0.000")&amp;"–"&amp;TEXT('单机全档'!W10,"0.000")</f>
        <v>2.717–2.771</v>
      </c>
      <c r="G14" s="4" t="str">
        <f>TEXT('单机全档'!X10,"0.000")&amp;"–"&amp;TEXT('单机全档'!Y10,"0.000")</f>
        <v>3.675–3.799</v>
      </c>
      <c r="H14" s="5">
        <f>'单机全档'!M10</f>
        <v>1</v>
      </c>
      <c r="I14" s="6">
        <f>'单机全档'!N10</f>
        <v>862.6796441623025</v>
      </c>
      <c r="J14" s="4" t="str">
        <f>TEXT('单机全档'!Z10,"0.000")&amp;"–"&amp;TEXT('单机全档'!AA10,"0.000")</f>
        <v>-16.954–-16.914</v>
      </c>
      <c r="K14" s="4" t="str">
        <f>TEXT('单机全档'!AB10,"0.000")&amp;"–"&amp;TEXT('单机全档'!AC10,"0.000")</f>
        <v>-16.037–-15.974</v>
      </c>
      <c r="L14" s="4" t="str">
        <f>TEXT('单机全档'!AD10,"0.000")&amp;"–"&amp;TEXT('单机全档'!AE10,"0.000")</f>
        <v>-14.866–-14.612</v>
      </c>
      <c r="M14" s="4" t="s">
        <v>23</v>
      </c>
      <c r="N14" s="4" t="s">
        <v>23</v>
      </c>
      <c r="O14" s="4" t="s">
        <v>23</v>
      </c>
      <c r="P14" s="7">
        <f>I14*'单机全档'!E10</f>
        <v>215669.91104057562</v>
      </c>
      <c r="Q14" s="6">
        <f>'单机全档'!O10</f>
        <v>910.4533333333331</v>
      </c>
      <c r="R14" s="7">
        <f>Q14*'单机全档'!E10</f>
        <v>227613.33333333328</v>
      </c>
    </row>
    <row r="15" ht="30" customHeight="1" spans="1:18" x14ac:dyDescent="0.25">
      <c r="A15" s="4"/>
      <c r="B15" s="4"/>
      <c r="C15" s="4"/>
      <c r="D15" s="4">
        <v>10000</v>
      </c>
      <c r="E15" s="4" t="str">
        <f>TEXT('单机全档'!T11,"0.000")&amp;"–"&amp;TEXT('单机全档'!U11,"0.000")</f>
        <v>2.011–2.040</v>
      </c>
      <c r="F15" s="4" t="str">
        <f>TEXT('单机全档'!V11,"0.000")&amp;"–"&amp;TEXT('单机全档'!W11,"0.000")</f>
        <v>2.918–2.977</v>
      </c>
      <c r="G15" s="4" t="str">
        <f>TEXT('单机全档'!X11,"0.000")&amp;"–"&amp;TEXT('单机全档'!Y11,"0.000")</f>
        <v>4.805–5.669</v>
      </c>
      <c r="H15" s="5">
        <f>'单机全档'!M11</f>
        <v>1</v>
      </c>
      <c r="I15" s="6">
        <f>'单机全档'!N11</f>
        <v>1725.0115864093098</v>
      </c>
      <c r="J15" s="4" t="str">
        <f>TEXT('单机全档'!Z11,"0.000")&amp;"–"&amp;TEXT('单机全档'!AA11,"0.000")</f>
        <v>-16.728–-16.688</v>
      </c>
      <c r="K15" s="4" t="str">
        <f>TEXT('单机全档'!AB11,"0.000")&amp;"–"&amp;TEXT('单机全档'!AC11,"0.000")</f>
        <v>-15.704–-15.646</v>
      </c>
      <c r="L15" s="4" t="str">
        <f>TEXT('单机全档'!AD11,"0.000")&amp;"–"&amp;TEXT('单机全档'!AE11,"0.000")</f>
        <v>-13.480–-12.581</v>
      </c>
      <c r="M15" s="4" t="s">
        <v>23</v>
      </c>
      <c r="N15" s="4" t="s">
        <v>23</v>
      </c>
      <c r="O15" s="4" t="s">
        <v>23</v>
      </c>
      <c r="P15" s="7">
        <f>I15*'单机全档'!E11</f>
        <v>431252.8966023274</v>
      </c>
      <c r="Q15" s="6">
        <f>'单机全档'!O11</f>
        <v>1820.603333333333</v>
      </c>
      <c r="R15" s="7">
        <f>Q15*'单机全档'!E11</f>
        <v>455150.83333333326</v>
      </c>
    </row>
    <row r="16" ht="30" customHeight="1" spans="1:18" x14ac:dyDescent="0.25">
      <c r="A16" s="4"/>
      <c r="B16" s="4"/>
      <c r="C16" s="4"/>
      <c r="D16" s="4">
        <v>15000</v>
      </c>
      <c r="E16" s="4" t="str">
        <f>TEXT('单机全档'!T12,"0.000")&amp;"–"&amp;TEXT('单机全档'!U12,"0.000")</f>
        <v>2.084–2.109</v>
      </c>
      <c r="F16" s="4" t="str">
        <f>TEXT('单机全档'!V12,"0.000")&amp;"–"&amp;TEXT('单机全档'!W12,"0.000")</f>
        <v>3.253–3.345</v>
      </c>
      <c r="G16" s="4" t="str">
        <f>TEXT('单机全档'!X12,"0.000")&amp;"–"&amp;TEXT('单机全档'!Y12,"0.000")</f>
        <v>10.256–12.187</v>
      </c>
      <c r="H16" s="5">
        <f>'单机全档'!M12</f>
        <v>1</v>
      </c>
      <c r="I16" s="6">
        <f>'单机全档'!N12</f>
        <v>2587.4808559217486</v>
      </c>
      <c r="J16" s="4" t="str">
        <f>TEXT('单机全档'!Z12,"0.000")&amp;"–"&amp;TEXT('单机全档'!AA12,"0.000")</f>
        <v>-16.591–-16.554</v>
      </c>
      <c r="K16" s="4" t="str">
        <f>TEXT('单机全档'!AB12,"0.000")&amp;"–"&amp;TEXT('单机全档'!AC12,"0.000")</f>
        <v>-15.208–-15.089</v>
      </c>
      <c r="L16" s="4" t="str">
        <f>TEXT('单机全档'!AD12,"0.000")&amp;"–"&amp;TEXT('单机全档'!AE12,"0.000")</f>
        <v>-8.411–-6.576</v>
      </c>
      <c r="M16" s="4" t="s">
        <v>23</v>
      </c>
      <c r="N16" s="4" t="s">
        <v>23</v>
      </c>
      <c r="O16" s="4" t="s">
        <v>23</v>
      </c>
      <c r="P16" s="7">
        <f>I16*'单机全档'!E12</f>
        <v>646870.2139804371</v>
      </c>
      <c r="Q16" s="6">
        <f>'单机全档'!O12</f>
        <v>2731.08</v>
      </c>
      <c r="R16" s="7">
        <f>Q16*'单机全档'!E12</f>
        <v>682770</v>
      </c>
    </row>
    <row r="17" ht="30" customHeight="1" spans="1:18" x14ac:dyDescent="0.25">
      <c r="A17" s="4"/>
      <c r="B17" s="4"/>
      <c r="C17" s="4"/>
      <c r="D17" s="4">
        <v>18000</v>
      </c>
      <c r="E17" s="4" t="str">
        <f>TEXT('单机全档'!T13,"0.000")&amp;"–"&amp;TEXT('单机全档'!U13,"0.000")</f>
        <v>2.123–2.154</v>
      </c>
      <c r="F17" s="4" t="str">
        <f>TEXT('单机全档'!V13,"0.000")&amp;"–"&amp;TEXT('单机全档'!W13,"0.000")</f>
        <v>3.930–4.197</v>
      </c>
      <c r="G17" s="4" t="str">
        <f>TEXT('单机全档'!X13,"0.000")&amp;"–"&amp;TEXT('单机全档'!Y13,"0.000")</f>
        <v>15.729–19.314</v>
      </c>
      <c r="H17" s="5">
        <f>'单机全档'!M13</f>
        <v>1</v>
      </c>
      <c r="I17" s="6">
        <f>'单机全档'!N13</f>
        <v>3105.114269799626</v>
      </c>
      <c r="J17" s="4" t="str">
        <f>TEXT('单机全档'!Z13,"0.000")&amp;"–"&amp;TEXT('单机全档'!AA13,"0.000")</f>
        <v>-16.495–-16.460</v>
      </c>
      <c r="K17" s="4" t="str">
        <f>TEXT('单机全档'!AB13,"0.000")&amp;"–"&amp;TEXT('单机全档'!AC13,"0.000")</f>
        <v>-14.195–-13.849</v>
      </c>
      <c r="L17" s="4" t="str">
        <f>TEXT('单机全档'!AD13,"0.000")&amp;"–"&amp;TEXT('单机全档'!AE13,"0.000")</f>
        <v>-2.405–-0.632</v>
      </c>
      <c r="M17" s="4" t="s">
        <v>23</v>
      </c>
      <c r="N17" s="4" t="s">
        <v>23</v>
      </c>
      <c r="O17" s="4" t="s">
        <v>23</v>
      </c>
      <c r="P17" s="7">
        <f>I17*'单机全档'!E13</f>
        <v>776278.5674499065</v>
      </c>
      <c r="Q17" s="6">
        <f>'单机全档'!O13</f>
        <v>3277.3599999999997</v>
      </c>
      <c r="R17" s="7">
        <f>Q17*'单机全档'!E13</f>
        <v>819339.9999999999</v>
      </c>
    </row>
    <row r="18" ht="30" customHeight="1" spans="1:18" x14ac:dyDescent="0.25">
      <c r="A18" s="4"/>
      <c r="B18" s="4"/>
      <c r="C18" s="4">
        <v>100</v>
      </c>
      <c r="D18" s="4">
        <v>1000</v>
      </c>
      <c r="E18" s="4" t="str">
        <f>TEXT('单机全档'!T14,"0.000")&amp;"–"&amp;TEXT('单机全档'!U14,"0.000")</f>
        <v>2.678–2.736</v>
      </c>
      <c r="F18" s="4" t="str">
        <f>TEXT('单机全档'!V14,"0.000")&amp;"–"&amp;TEXT('单机全档'!W14,"0.000")</f>
        <v>3.887–3.984</v>
      </c>
      <c r="G18" s="4" t="str">
        <f>TEXT('单机全档'!X14,"0.000")&amp;"–"&amp;TEXT('单机全档'!Y14,"0.000")</f>
        <v>5.252–5.606</v>
      </c>
      <c r="H18" s="5">
        <f>'单机全档'!M14</f>
        <v>1</v>
      </c>
      <c r="I18" s="6">
        <f>'单机全档'!N14</f>
        <v>172.08432259796845</v>
      </c>
      <c r="J18" s="4" t="str">
        <f>TEXT('单机全档'!Z14,"0.000")&amp;"–"&amp;TEXT('单机全档'!AA14,"0.000")</f>
        <v>-6.653–-6.545</v>
      </c>
      <c r="K18" s="4" t="str">
        <f>TEXT('单机全档'!AB14,"0.000")&amp;"–"&amp;TEXT('单机全档'!AC14,"0.000")</f>
        <v>-5.234–-5.102</v>
      </c>
      <c r="L18" s="4" t="str">
        <f>TEXT('单机全档'!AD14,"0.000")&amp;"–"&amp;TEXT('单机全档'!AE14,"0.000")</f>
        <v>-3.760–-3.397</v>
      </c>
      <c r="M18" s="4" t="s">
        <v>23</v>
      </c>
      <c r="N18" s="4" t="s">
        <v>23</v>
      </c>
      <c r="O18" s="4" t="s">
        <v>23</v>
      </c>
      <c r="P18" s="7">
        <f>I18*'单机全档'!E14</f>
        <v>86042.16129898423</v>
      </c>
      <c r="Q18" s="6">
        <f>'单机全档'!O14</f>
        <v>181.55666666666664</v>
      </c>
      <c r="R18" s="7">
        <f>Q18*'单机全档'!E14</f>
        <v>90778.33333333333</v>
      </c>
    </row>
    <row r="19" ht="30" customHeight="1" spans="1:18" x14ac:dyDescent="0.25">
      <c r="A19" s="4"/>
      <c r="B19" s="4"/>
      <c r="C19" s="4"/>
      <c r="D19" s="4">
        <v>2000</v>
      </c>
      <c r="E19" s="4" t="str">
        <f>TEXT('单机全档'!T15,"0.000")&amp;"–"&amp;TEXT('单机全档'!U15,"0.000")</f>
        <v>2.001–2.044</v>
      </c>
      <c r="F19" s="4" t="str">
        <f>TEXT('单机全档'!V15,"0.000")&amp;"–"&amp;TEXT('单机全档'!W15,"0.000")</f>
        <v>3.000–3.062</v>
      </c>
      <c r="G19" s="4" t="str">
        <f>TEXT('单机全档'!X15,"0.000")&amp;"–"&amp;TEXT('单机全档'!Y15,"0.000")</f>
        <v>3.870–4.106</v>
      </c>
      <c r="H19" s="5">
        <f>'单机全档'!M15</f>
        <v>1</v>
      </c>
      <c r="I19" s="6">
        <f>'单机全档'!N15</f>
        <v>344.1403293037127</v>
      </c>
      <c r="J19" s="4" t="str">
        <f>TEXT('单机全档'!Z15,"0.000")&amp;"–"&amp;TEXT('单机全档'!AA15,"0.000")</f>
        <v>-6.888–-6.840</v>
      </c>
      <c r="K19" s="4" t="str">
        <f>TEXT('单机全档'!AB15,"0.000")&amp;"–"&amp;TEXT('单机全档'!AC15,"0.000")</f>
        <v>-5.836–-5.796</v>
      </c>
      <c r="L19" s="4" t="str">
        <f>TEXT('单机全档'!AD15,"0.000")&amp;"–"&amp;TEXT('单机全档'!AE15,"0.000")</f>
        <v>-4.739–-4.459</v>
      </c>
      <c r="M19" s="4" t="s">
        <v>23</v>
      </c>
      <c r="N19" s="4" t="s">
        <v>23</v>
      </c>
      <c r="O19" s="4" t="s">
        <v>23</v>
      </c>
      <c r="P19" s="7">
        <f>I19*'单机全档'!E15</f>
        <v>172070.16465185635</v>
      </c>
      <c r="Q19" s="6">
        <f>'单机全档'!O15</f>
        <v>363.15333333333325</v>
      </c>
      <c r="R19" s="7">
        <f>Q19*'单机全档'!E15</f>
        <v>181576.66666666663</v>
      </c>
    </row>
    <row r="20" ht="30" customHeight="1" spans="1:18" x14ac:dyDescent="0.25">
      <c r="A20" s="4"/>
      <c r="B20" s="4"/>
      <c r="C20" s="4"/>
      <c r="D20" s="4">
        <v>5000</v>
      </c>
      <c r="E20" s="4" t="str">
        <f>TEXT('单机全档'!T16,"0.000")&amp;"–"&amp;TEXT('单机全档'!U16,"0.000")</f>
        <v>1.949–1.989</v>
      </c>
      <c r="F20" s="4" t="str">
        <f>TEXT('单机全档'!V16,"0.000")&amp;"–"&amp;TEXT('单机全档'!W16,"0.000")</f>
        <v>2.665–2.702</v>
      </c>
      <c r="G20" s="4" t="str">
        <f>TEXT('单机全档'!X16,"0.000")&amp;"–"&amp;TEXT('单机全档'!Y16,"0.000")</f>
        <v>4.154–4.616</v>
      </c>
      <c r="H20" s="5">
        <f>'单机全档'!M16</f>
        <v>1</v>
      </c>
      <c r="I20" s="6">
        <f>'单机全档'!N16</f>
        <v>860.1649982479141</v>
      </c>
      <c r="J20" s="4" t="str">
        <f>TEXT('单机全档'!Z16,"0.000")&amp;"–"&amp;TEXT('单机全档'!AA16,"0.000")</f>
        <v>-6.677–-6.602</v>
      </c>
      <c r="K20" s="4" t="str">
        <f>TEXT('单机全档'!AB16,"0.000")&amp;"–"&amp;TEXT('单机全档'!AC16,"0.000")</f>
        <v>-5.732–-5.646</v>
      </c>
      <c r="L20" s="4" t="str">
        <f>TEXT('单机全档'!AD16,"0.000")&amp;"–"&amp;TEXT('单机全档'!AE16,"0.000")</f>
        <v>-4.042–-3.488</v>
      </c>
      <c r="M20" s="4" t="s">
        <v>23</v>
      </c>
      <c r="N20" s="4" t="s">
        <v>23</v>
      </c>
      <c r="O20" s="4" t="s">
        <v>23</v>
      </c>
      <c r="P20" s="7">
        <f>I20*'单机全档'!E16</f>
        <v>430082.49912395707</v>
      </c>
      <c r="Q20" s="6">
        <f>'单机全档'!O16</f>
        <v>907.7633333333332</v>
      </c>
      <c r="R20" s="7">
        <f>Q20*'单机全档'!E16</f>
        <v>453881.6666666666</v>
      </c>
    </row>
    <row r="21" ht="30" customHeight="1" spans="1:18" x14ac:dyDescent="0.25">
      <c r="A21" s="4"/>
      <c r="B21" s="4"/>
      <c r="C21" s="4"/>
      <c r="D21" s="4">
        <v>10000</v>
      </c>
      <c r="E21" s="4" t="str">
        <f>TEXT('单机全档'!T17,"0.000")&amp;"–"&amp;TEXT('单机全档'!U17,"0.000")</f>
        <v>2.023–2.058</v>
      </c>
      <c r="F21" s="4" t="str">
        <f>TEXT('单机全档'!V17,"0.000")&amp;"–"&amp;TEXT('单机全档'!W17,"0.000")</f>
        <v>3.270–3.527</v>
      </c>
      <c r="G21" s="4" t="str">
        <f>TEXT('单机全档'!X17,"0.000")&amp;"–"&amp;TEXT('单机全档'!Y17,"0.000")</f>
        <v>13.055–15.840</v>
      </c>
      <c r="H21" s="5">
        <f>'单机全档'!M17</f>
        <v>1</v>
      </c>
      <c r="I21" s="6">
        <f>'单机全档'!N17</f>
        <v>1720.599517402602</v>
      </c>
      <c r="J21" s="4" t="str">
        <f>TEXT('单机全档'!Z17,"0.000")&amp;"–"&amp;TEXT('单机全档'!AA17,"0.000")</f>
        <v>-6.578–-6.515</v>
      </c>
      <c r="K21" s="4" t="str">
        <f>TEXT('单机全档'!AB17,"0.000")&amp;"–"&amp;TEXT('单机全档'!AC17,"0.000")</f>
        <v>-4.831–-4.435</v>
      </c>
      <c r="L21" s="4" t="str">
        <f>TEXT('单机全档'!AD17,"0.000")&amp;"–"&amp;TEXT('单机全档'!AE17,"0.000")</f>
        <v>3.886–6.976</v>
      </c>
      <c r="M21" s="4" t="s">
        <v>23</v>
      </c>
      <c r="N21" s="4" t="s">
        <v>23</v>
      </c>
      <c r="O21" s="4" t="s">
        <v>23</v>
      </c>
      <c r="P21" s="7">
        <f>I21*'单机全档'!E17</f>
        <v>860299.7587013011</v>
      </c>
      <c r="Q21" s="6">
        <f>'单机全档'!O17</f>
        <v>1815.99</v>
      </c>
      <c r="R21" s="7">
        <f>Q21*'单机全档'!E17</f>
        <v>907995</v>
      </c>
    </row>
    <row r="22" ht="30" customHeight="1" spans="1:18" x14ac:dyDescent="0.25">
      <c r="A22" s="4"/>
      <c r="B22" s="4"/>
      <c r="C22" s="4"/>
      <c r="D22" s="4">
        <v>15000</v>
      </c>
      <c r="E22" s="4" t="str">
        <f>TEXT('单机全档'!T18,"0.000")&amp;"–"&amp;TEXT('单机全档'!U18,"0.000")</f>
        <v>18.330–18.515</v>
      </c>
      <c r="F22" s="4" t="str">
        <f>TEXT('单机全档'!V18,"0.000")&amp;"–"&amp;TEXT('单机全档'!W18,"0.000")</f>
        <v>35.758–36.409</v>
      </c>
      <c r="G22" s="4" t="str">
        <f>TEXT('单机全档'!X18,"0.000")&amp;"–"&amp;TEXT('单机全档'!Y18,"0.000")</f>
        <v>69.263–89.599</v>
      </c>
      <c r="H22" s="5">
        <f>'单机全档'!M18</f>
        <v>1</v>
      </c>
      <c r="I22" s="6">
        <f>'单机全档'!N18</f>
        <v>2566.0875354242407</v>
      </c>
      <c r="J22" s="4" t="str">
        <f>TEXT('单机全档'!Z18,"0.000")&amp;"–"&amp;TEXT('单机全档'!AA18,"0.000")</f>
        <v>17.531–17.972</v>
      </c>
      <c r="K22" s="4" t="str">
        <f>TEXT('单机全档'!AB18,"0.000")&amp;"–"&amp;TEXT('单机全档'!AC18,"0.000")</f>
        <v>56.439–60.175</v>
      </c>
      <c r="L22" s="4" t="str">
        <f>TEXT('单机全档'!AD18,"0.000")&amp;"–"&amp;TEXT('单机全档'!AE18,"0.000")</f>
        <v>192.750–208.930</v>
      </c>
      <c r="M22" s="4" t="s">
        <v>23</v>
      </c>
      <c r="N22" s="4" t="s">
        <v>23</v>
      </c>
      <c r="O22" s="4" t="s">
        <v>23</v>
      </c>
      <c r="P22" s="7">
        <f>I22*'单机全档'!E18</f>
        <v>1283043.7677121204</v>
      </c>
      <c r="Q22" s="6">
        <f>'单机全档'!O18</f>
        <v>2707.896666666667</v>
      </c>
      <c r="R22" s="7">
        <f>Q22*'单机全档'!E18</f>
        <v>1353948.3333333335</v>
      </c>
    </row>
    <row r="23" ht="30" customHeight="1" spans="1:18" x14ac:dyDescent="0.25">
      <c r="A23" s="4"/>
      <c r="B23" s="4"/>
      <c r="C23" s="4"/>
      <c r="D23" s="4">
        <v>18000</v>
      </c>
      <c r="E23" s="4" t="str">
        <f>TEXT('单机全档'!T19,"0.000")&amp;"–"&amp;TEXT('单机全档'!U19,"0.000")</f>
        <v>22.076–22.411</v>
      </c>
      <c r="F23" s="4" t="str">
        <f>TEXT('单机全档'!V19,"0.000")&amp;"–"&amp;TEXT('单机全档'!W19,"0.000")</f>
        <v>42.316–44.327</v>
      </c>
      <c r="G23" s="4" t="str">
        <f>TEXT('单机全档'!X19,"0.000")&amp;"–"&amp;TEXT('单机全档'!Y19,"0.000")</f>
        <v>107.343–182.922</v>
      </c>
      <c r="H23" s="5">
        <f>'单机全档'!M19</f>
        <v>1</v>
      </c>
      <c r="I23" s="6">
        <f>'单机全档'!N19</f>
        <v>3053.312282922732</v>
      </c>
      <c r="J23" s="4" t="str">
        <f>TEXT('单机全档'!Z19,"0.000")&amp;"–"&amp;TEXT('单机全档'!AA19,"0.000")</f>
        <v>26.913–27.986</v>
      </c>
      <c r="K23" s="4" t="str">
        <f>TEXT('单机全档'!AB19,"0.000")&amp;"–"&amp;TEXT('单机全档'!AC19,"0.000")</f>
        <v>181.411–190.672</v>
      </c>
      <c r="L23" s="4" t="str">
        <f>TEXT('单机全档'!AD19,"0.000")&amp;"–"&amp;TEXT('单机全档'!AE19,"0.000")</f>
        <v>630.939–659.505</v>
      </c>
      <c r="M23" s="4" t="s">
        <v>23</v>
      </c>
      <c r="N23" s="4" t="s">
        <v>23</v>
      </c>
      <c r="O23" s="4" t="s">
        <v>23</v>
      </c>
      <c r="P23" s="7">
        <f>I23*'单机全档'!E19</f>
        <v>1526656.1414613659</v>
      </c>
      <c r="Q23" s="6">
        <f>'单机全档'!O19</f>
        <v>3220.95</v>
      </c>
      <c r="R23" s="7">
        <f>Q23*'单机全档'!E19</f>
        <v>1610475</v>
      </c>
    </row>
    <row r="24" ht="30" customHeight="1" spans="1:18" x14ac:dyDescent="0.25">
      <c r="A24" s="4" t="s">
        <v>24</v>
      </c>
      <c r="B24" s="4" t="s">
        <v>25</v>
      </c>
      <c r="C24" s="4">
        <v>20</v>
      </c>
      <c r="D24" s="4">
        <v>1000</v>
      </c>
      <c r="E24" s="4" t="str">
        <f>TEXT('单机全档'!T20,"0.000")&amp;"–"&amp;TEXT('单机全档'!U20,"0.000")</f>
        <v>4.871–5.408</v>
      </c>
      <c r="F24" s="4" t="str">
        <f>TEXT('单机全档'!V20,"0.000")&amp;"–"&amp;TEXT('单机全档'!W20,"0.000")</f>
        <v>10.181–11.302</v>
      </c>
      <c r="G24" s="4" t="str">
        <f>TEXT('单机全档'!X20,"0.000")&amp;"–"&amp;TEXT('单机全档'!Y20,"0.000")</f>
        <v>15.231–20.934</v>
      </c>
      <c r="H24" s="5">
        <f>'单机全档'!M20</f>
        <v>1</v>
      </c>
      <c r="I24" s="6">
        <f>'单机全档'!N20</f>
        <v>15.28806417302304</v>
      </c>
      <c r="J24" s="4" t="str">
        <f>TEXT('单机全档'!Z20,"0.000")&amp;"–"&amp;TEXT('单机全档'!AA20,"0.000")</f>
        <v>-45.310–-44.950</v>
      </c>
      <c r="K24" s="4" t="str">
        <f>TEXT('单机全档'!AB20,"0.000")&amp;"–"&amp;TEXT('单机全档'!AC20,"0.000")</f>
        <v>-40.513–-39.710</v>
      </c>
      <c r="L24" s="4" t="str">
        <f>TEXT('单机全档'!AD20,"0.000")&amp;"–"&amp;TEXT('单机全档'!AE20,"0.000")</f>
        <v>-35.278–-32.482</v>
      </c>
      <c r="M24" s="4" t="s">
        <v>23</v>
      </c>
      <c r="N24" s="4" t="s">
        <v>23</v>
      </c>
      <c r="O24" s="4" t="s">
        <v>23</v>
      </c>
      <c r="P24" s="7">
        <f>I24*'单机全档'!E20</f>
        <v>18345.677007627648</v>
      </c>
      <c r="Q24" s="6">
        <f>'单机全档'!O20</f>
        <v>15.881250000000001</v>
      </c>
      <c r="R24" s="7">
        <f>Q24*'单机全档'!E20</f>
        <v>19057.5</v>
      </c>
    </row>
    <row r="25" ht="30" customHeight="1" spans="1:18" x14ac:dyDescent="0.25">
      <c r="A25" s="4"/>
      <c r="B25" s="4"/>
      <c r="C25" s="4"/>
      <c r="D25" s="4">
        <v>2000</v>
      </c>
      <c r="E25" s="4" t="str">
        <f>TEXT('单机全档'!T21,"0.000")&amp;"–"&amp;TEXT('单机全档'!U21,"0.000")</f>
        <v>3.560–3.748</v>
      </c>
      <c r="F25" s="4" t="str">
        <f>TEXT('单机全档'!V21,"0.000")&amp;"–"&amp;TEXT('单机全档'!W21,"0.000")</f>
        <v>6.248–6.640</v>
      </c>
      <c r="G25" s="4" t="str">
        <f>TEXT('单机全档'!X21,"0.000")&amp;"–"&amp;TEXT('单机全档'!Y21,"0.000")</f>
        <v>10.662–15.099</v>
      </c>
      <c r="H25" s="5">
        <f>'单机全档'!M21</f>
        <v>1</v>
      </c>
      <c r="I25" s="6">
        <f>'单机全档'!N21</f>
        <v>30.56886394692754</v>
      </c>
      <c r="J25" s="4" t="str">
        <f>TEXT('单机全档'!Z21,"0.000")&amp;"–"&amp;TEXT('单机全档'!AA21,"0.000")</f>
        <v>-45.992–-45.799</v>
      </c>
      <c r="K25" s="4" t="str">
        <f>TEXT('单机全档'!AB21,"0.000")&amp;"–"&amp;TEXT('单机全档'!AC21,"0.000")</f>
        <v>-43.270–-42.869</v>
      </c>
      <c r="L25" s="4" t="str">
        <f>TEXT('单机全档'!AD21,"0.000")&amp;"–"&amp;TEXT('单机全档'!AE21,"0.000")</f>
        <v>-40.441–-37.411</v>
      </c>
      <c r="M25" s="4" t="s">
        <v>23</v>
      </c>
      <c r="N25" s="4" t="s">
        <v>23</v>
      </c>
      <c r="O25" s="4" t="s">
        <v>23</v>
      </c>
      <c r="P25" s="7">
        <f>I25*'单机全档'!E21</f>
        <v>36682.63673631305</v>
      </c>
      <c r="Q25" s="6">
        <f>'单机全档'!O21</f>
        <v>31.759375</v>
      </c>
      <c r="R25" s="7">
        <f>Q25*'单机全档'!E21</f>
        <v>38111.25</v>
      </c>
    </row>
    <row r="26" ht="30" customHeight="1" spans="1:18" x14ac:dyDescent="0.25">
      <c r="A26" s="4"/>
      <c r="B26" s="4"/>
      <c r="C26" s="4"/>
      <c r="D26" s="4">
        <v>5000</v>
      </c>
      <c r="E26" s="4" t="str">
        <f>TEXT('单机全档'!T22,"0.000")&amp;"–"&amp;TEXT('单机全档'!U22,"0.000")</f>
        <v>2.659–2.728</v>
      </c>
      <c r="F26" s="4" t="str">
        <f>TEXT('单机全档'!V22,"0.000")&amp;"–"&amp;TEXT('单机全档'!W22,"0.000")</f>
        <v>3.864–3.993</v>
      </c>
      <c r="G26" s="4" t="str">
        <f>TEXT('单机全档'!X22,"0.000")&amp;"–"&amp;TEXT('单机全档'!Y22,"0.000")</f>
        <v>6.725–8.478</v>
      </c>
      <c r="H26" s="5">
        <f>'单机全档'!M22</f>
        <v>1</v>
      </c>
      <c r="I26" s="6">
        <f>'单机全档'!N22</f>
        <v>76.40235668291376</v>
      </c>
      <c r="J26" s="4" t="str">
        <f>TEXT('单机全档'!Z22,"0.000")&amp;"–"&amp;TEXT('单机全档'!AA22,"0.000")</f>
        <v>-46.426–-46.287</v>
      </c>
      <c r="K26" s="4" t="str">
        <f>TEXT('单机全档'!AB22,"0.000")&amp;"–"&amp;TEXT('单机全档'!AC22,"0.000")</f>
        <v>-45.015–-44.816</v>
      </c>
      <c r="L26" s="4" t="str">
        <f>TEXT('单机全档'!AD22,"0.000")&amp;"–"&amp;TEXT('单机全档'!AE22,"0.000")</f>
        <v>-42.780–-41.262</v>
      </c>
      <c r="M26" s="4" t="s">
        <v>23</v>
      </c>
      <c r="N26" s="4" t="s">
        <v>23</v>
      </c>
      <c r="O26" s="4" t="s">
        <v>23</v>
      </c>
      <c r="P26" s="7">
        <f>I26*'单机全档'!E22</f>
        <v>91682.82801949652</v>
      </c>
      <c r="Q26" s="6">
        <f>'单机全档'!O22</f>
        <v>79.3828125</v>
      </c>
      <c r="R26" s="7">
        <f>Q26*'单机全档'!E22</f>
        <v>95259.375</v>
      </c>
    </row>
    <row r="27" ht="30" customHeight="1" spans="1:18" x14ac:dyDescent="0.25">
      <c r="A27" s="4"/>
      <c r="B27" s="4"/>
      <c r="C27" s="4"/>
      <c r="D27" s="4">
        <v>10000</v>
      </c>
      <c r="E27" s="4" t="str">
        <f>TEXT('单机全档'!T23,"0.000")&amp;"–"&amp;TEXT('单机全档'!U23,"0.000")</f>
        <v>2.470–2.522</v>
      </c>
      <c r="F27" s="4" t="str">
        <f>TEXT('单机全档'!V23,"0.000")&amp;"–"&amp;TEXT('单机全档'!W23,"0.000")</f>
        <v>3.668–3.796</v>
      </c>
      <c r="G27" s="4" t="str">
        <f>TEXT('单机全档'!X23,"0.000")&amp;"–"&amp;TEXT('单机全档'!Y23,"0.000")</f>
        <v>6.358–9.428</v>
      </c>
      <c r="H27" s="5">
        <f>'单机全档'!M23</f>
        <v>1</v>
      </c>
      <c r="I27" s="6">
        <f>'单机全档'!N23</f>
        <v>152.78192291268832</v>
      </c>
      <c r="J27" s="4" t="str">
        <f>TEXT('单机全档'!Z23,"0.000")&amp;"–"&amp;TEXT('单机全档'!AA23,"0.000")</f>
        <v>-46.373–-46.298</v>
      </c>
      <c r="K27" s="4" t="str">
        <f>TEXT('单机全档'!AB23,"0.000")&amp;"–"&amp;TEXT('单机全档'!AC23,"0.000")</f>
        <v>-44.933–-44.806</v>
      </c>
      <c r="L27" s="4" t="str">
        <f>TEXT('单机全档'!AD23,"0.000")&amp;"–"&amp;TEXT('单机全档'!AE23,"0.000")</f>
        <v>-42.504–-40.683</v>
      </c>
      <c r="M27" s="4" t="s">
        <v>23</v>
      </c>
      <c r="N27" s="4" t="s">
        <v>23</v>
      </c>
      <c r="O27" s="4" t="s">
        <v>23</v>
      </c>
      <c r="P27" s="7">
        <f>I27*'单机全档'!E23</f>
        <v>183338.30749522598</v>
      </c>
      <c r="Q27" s="6">
        <f>'单机全档'!O23</f>
        <v>158.76250000000002</v>
      </c>
      <c r="R27" s="7">
        <f>Q27*'单机全档'!E23</f>
        <v>190515.00000000003</v>
      </c>
    </row>
    <row r="28" ht="30" customHeight="1" spans="1:18" x14ac:dyDescent="0.25">
      <c r="A28" s="4"/>
      <c r="B28" s="4"/>
      <c r="C28" s="4"/>
      <c r="D28" s="4">
        <v>15000</v>
      </c>
      <c r="E28" s="4" t="str">
        <f>TEXT('单机全档'!T24,"0.000")&amp;"–"&amp;TEXT('单机全档'!U24,"0.000")</f>
        <v>2.470–2.499</v>
      </c>
      <c r="F28" s="4" t="str">
        <f>TEXT('单机全档'!V24,"0.000")&amp;"–"&amp;TEXT('单机全档'!W24,"0.000")</f>
        <v>3.746–3.831</v>
      </c>
      <c r="G28" s="4" t="str">
        <f>TEXT('单机全档'!X24,"0.000")&amp;"–"&amp;TEXT('单机全档'!Y24,"0.000")</f>
        <v>8.656–11.791</v>
      </c>
      <c r="H28" s="5">
        <f>'单机全档'!M24</f>
        <v>1</v>
      </c>
      <c r="I28" s="6">
        <f>'单机全档'!N24</f>
        <v>229.16412111027398</v>
      </c>
      <c r="J28" s="4" t="str">
        <f>TEXT('单机全档'!Z24,"0.000")&amp;"–"&amp;TEXT('单机全档'!AA24,"0.000")</f>
        <v>-46.281–-46.226</v>
      </c>
      <c r="K28" s="4" t="str">
        <f>TEXT('单机全档'!AB24,"0.000")&amp;"–"&amp;TEXT('单机全档'!AC24,"0.000")</f>
        <v>-44.802–-44.695</v>
      </c>
      <c r="L28" s="4" t="str">
        <f>TEXT('单机全档'!AD24,"0.000")&amp;"–"&amp;TEXT('单机全档'!AE24,"0.000")</f>
        <v>-40.916–-38.688</v>
      </c>
      <c r="M28" s="4" t="s">
        <v>23</v>
      </c>
      <c r="N28" s="4" t="s">
        <v>23</v>
      </c>
      <c r="O28" s="4" t="s">
        <v>23</v>
      </c>
      <c r="P28" s="7">
        <f>I28*'单机全档'!E24</f>
        <v>274996.9453323288</v>
      </c>
      <c r="Q28" s="6">
        <f>'单机全档'!O24</f>
        <v>238.12968750000002</v>
      </c>
      <c r="R28" s="7">
        <f>Q28*'单机全档'!E24</f>
        <v>285755.625</v>
      </c>
    </row>
    <row r="29" ht="30" customHeight="1" spans="1:18" x14ac:dyDescent="0.25">
      <c r="A29" s="4"/>
      <c r="B29" s="4"/>
      <c r="C29" s="4"/>
      <c r="D29" s="4">
        <v>18000</v>
      </c>
      <c r="E29" s="4" t="str">
        <f>TEXT('单机全档'!T25,"0.000")&amp;"–"&amp;TEXT('单机全档'!U25,"0.000")</f>
        <v>2.467–2.498</v>
      </c>
      <c r="F29" s="4" t="str">
        <f>TEXT('单机全档'!V25,"0.000")&amp;"–"&amp;TEXT('单机全档'!W25,"0.000")</f>
        <v>3.714–3.807</v>
      </c>
      <c r="G29" s="4" t="str">
        <f>TEXT('单机全档'!X25,"0.000")&amp;"–"&amp;TEXT('单机全档'!Y25,"0.000")</f>
        <v>13.315–15.899</v>
      </c>
      <c r="H29" s="5">
        <f>'单机全档'!M25</f>
        <v>1</v>
      </c>
      <c r="I29" s="6">
        <f>'单机全档'!N25</f>
        <v>274.9932845160351</v>
      </c>
      <c r="J29" s="4" t="str">
        <f>TEXT('单机全档'!Z25,"0.000")&amp;"–"&amp;TEXT('单机全档'!AA25,"0.000")</f>
        <v>-46.239–-46.195</v>
      </c>
      <c r="K29" s="4" t="str">
        <f>TEXT('单机全档'!AB25,"0.000")&amp;"–"&amp;TEXT('单机全档'!AC25,"0.000")</f>
        <v>-44.769–-44.666</v>
      </c>
      <c r="L29" s="4" t="str">
        <f>TEXT('单机全档'!AD25,"0.000")&amp;"–"&amp;TEXT('单机全档'!AE25,"0.000")</f>
        <v>-36.908–-34.703</v>
      </c>
      <c r="M29" s="4" t="s">
        <v>23</v>
      </c>
      <c r="N29" s="4" t="s">
        <v>23</v>
      </c>
      <c r="O29" s="4" t="s">
        <v>23</v>
      </c>
      <c r="P29" s="7">
        <f>I29*'单机全档'!E25</f>
        <v>329991.9414192421</v>
      </c>
      <c r="Q29" s="6">
        <f>'单机全档'!O25</f>
        <v>285.75625</v>
      </c>
      <c r="R29" s="7">
        <f>Q29*'单机全档'!E25</f>
        <v>342907.5</v>
      </c>
    </row>
    <row r="30" ht="30" customHeight="1" spans="1:18" x14ac:dyDescent="0.25">
      <c r="A30" s="4"/>
      <c r="B30" s="4"/>
      <c r="C30" s="4">
        <v>50</v>
      </c>
      <c r="D30" s="4">
        <v>1000</v>
      </c>
      <c r="E30" s="4" t="str">
        <f>TEXT('单机全档'!T26,"0.000")&amp;"–"&amp;TEXT('单机全档'!U26,"0.000")</f>
        <v>3.303–3.521</v>
      </c>
      <c r="F30" s="4" t="str">
        <f>TEXT('单机全档'!V26,"0.000")&amp;"–"&amp;TEXT('单机全档'!W26,"0.000")</f>
        <v>5.595–5.947</v>
      </c>
      <c r="G30" s="4" t="str">
        <f>TEXT('单机全档'!X26,"0.000")&amp;"–"&amp;TEXT('单机全档'!Y26,"0.000")</f>
        <v>8.868–12.183</v>
      </c>
      <c r="H30" s="5">
        <f>'单机全档'!M26</f>
        <v>1</v>
      </c>
      <c r="I30" s="6">
        <f>'单机全档'!N26</f>
        <v>15.262396808254069</v>
      </c>
      <c r="J30" s="4" t="str">
        <f>TEXT('单机全档'!Z26,"0.000")&amp;"–"&amp;TEXT('单机全档'!AA26,"0.000")</f>
        <v>-15.745–-15.467</v>
      </c>
      <c r="K30" s="4" t="str">
        <f>TEXT('单机全档'!AB26,"0.000")&amp;"–"&amp;TEXT('单机全档'!AC26,"0.000")</f>
        <v>-13.409–-13.022</v>
      </c>
      <c r="L30" s="4" t="str">
        <f>TEXT('单机全档'!AD26,"0.000")&amp;"–"&amp;TEXT('单机全档'!AE26,"0.000")</f>
        <v>-10.756–-6.671</v>
      </c>
      <c r="M30" s="4" t="s">
        <v>23</v>
      </c>
      <c r="N30" s="4" t="s">
        <v>23</v>
      </c>
      <c r="O30" s="4" t="s">
        <v>23</v>
      </c>
      <c r="P30" s="7">
        <f>I30*'单机全档'!E26</f>
        <v>45787.19042476221</v>
      </c>
      <c r="Q30" s="6">
        <f>'单机全档'!O26</f>
        <v>15.854687499999997</v>
      </c>
      <c r="R30" s="7">
        <f>Q30*'单机全档'!E26</f>
        <v>47564.06249999999</v>
      </c>
    </row>
    <row r="31" ht="30" customHeight="1" spans="1:18" x14ac:dyDescent="0.25">
      <c r="A31" s="4"/>
      <c r="B31" s="4"/>
      <c r="C31" s="4"/>
      <c r="D31" s="4">
        <v>2000</v>
      </c>
      <c r="E31" s="4" t="str">
        <f>TEXT('单机全档'!T27,"0.000")&amp;"–"&amp;TEXT('单机全档'!U27,"0.000")</f>
        <v>2.677–2.805</v>
      </c>
      <c r="F31" s="4" t="str">
        <f>TEXT('单机全档'!V27,"0.000")&amp;"–"&amp;TEXT('单机全档'!W27,"0.000")</f>
        <v>3.874–4.203</v>
      </c>
      <c r="G31" s="4" t="str">
        <f>TEXT('单机全档'!X27,"0.000")&amp;"–"&amp;TEXT('单机全档'!Y27,"0.000")</f>
        <v>5.961–8.950</v>
      </c>
      <c r="H31" s="5">
        <f>'单机全档'!M27</f>
        <v>1</v>
      </c>
      <c r="I31" s="6">
        <f>'单机全档'!N27</f>
        <v>30.51466759513979</v>
      </c>
      <c r="J31" s="4" t="str">
        <f>TEXT('单机全档'!Z27,"0.000")&amp;"–"&amp;TEXT('单机全档'!AA27,"0.000")</f>
        <v>-16.024–-15.896</v>
      </c>
      <c r="K31" s="4" t="str">
        <f>TEXT('单机全档'!AB27,"0.000")&amp;"–"&amp;TEXT('单机全档'!AC27,"0.000")</f>
        <v>-14.493–-14.110</v>
      </c>
      <c r="L31" s="4" t="str">
        <f>TEXT('单机全档'!AD27,"0.000")&amp;"–"&amp;TEXT('单机全档'!AE27,"0.000")</f>
        <v>-12.243–-10.049</v>
      </c>
      <c r="M31" s="4" t="s">
        <v>23</v>
      </c>
      <c r="N31" s="4" t="s">
        <v>23</v>
      </c>
      <c r="O31" s="4" t="s">
        <v>23</v>
      </c>
      <c r="P31" s="7">
        <f>I31*'单机全档'!E27</f>
        <v>91544.00278541938</v>
      </c>
      <c r="Q31" s="6">
        <f>'单机全档'!O27</f>
        <v>31.704687500000002</v>
      </c>
      <c r="R31" s="7">
        <f>Q31*'单机全档'!E27</f>
        <v>95114.0625</v>
      </c>
    </row>
    <row r="32" ht="30" customHeight="1" spans="1:18" x14ac:dyDescent="0.25">
      <c r="A32" s="4"/>
      <c r="B32" s="4"/>
      <c r="C32" s="4"/>
      <c r="D32" s="4">
        <v>5000</v>
      </c>
      <c r="E32" s="4" t="str">
        <f>TEXT('单机全档'!T28,"0.000")&amp;"–"&amp;TEXT('单机全档'!U28,"0.000")</f>
        <v>1.932–1.986</v>
      </c>
      <c r="F32" s="4" t="str">
        <f>TEXT('单机全档'!V28,"0.000")&amp;"–"&amp;TEXT('单机全档'!W28,"0.000")</f>
        <v>2.813–2.912</v>
      </c>
      <c r="G32" s="4" t="str">
        <f>TEXT('单机全档'!X28,"0.000")&amp;"–"&amp;TEXT('单机全档'!Y28,"0.000")</f>
        <v>4.324–5.761</v>
      </c>
      <c r="H32" s="5">
        <f>'单机全档'!M28</f>
        <v>1</v>
      </c>
      <c r="I32" s="6">
        <f>'单机全档'!N28</f>
        <v>76.26475556652515</v>
      </c>
      <c r="J32" s="4" t="str">
        <f>TEXT('单机全档'!Z28,"0.000")&amp;"–"&amp;TEXT('单机全档'!AA28,"0.000")</f>
        <v>-16.249–-16.143</v>
      </c>
      <c r="K32" s="4" t="str">
        <f>TEXT('单机全档'!AB28,"0.000")&amp;"–"&amp;TEXT('单机全档'!AC28,"0.000")</f>
        <v>-15.039–-14.866</v>
      </c>
      <c r="L32" s="4" t="str">
        <f>TEXT('单机全档'!AD28,"0.000")&amp;"–"&amp;TEXT('单机全档'!AE28,"0.000")</f>
        <v>-13.565–-12.872</v>
      </c>
      <c r="M32" s="4" t="s">
        <v>23</v>
      </c>
      <c r="N32" s="4" t="s">
        <v>23</v>
      </c>
      <c r="O32" s="4" t="s">
        <v>23</v>
      </c>
      <c r="P32" s="7">
        <f>I32*'单机全档'!E28</f>
        <v>228794.26669957547</v>
      </c>
      <c r="Q32" s="6">
        <f>'单机全档'!O28</f>
        <v>79.24531249999998</v>
      </c>
      <c r="R32" s="7">
        <f>Q32*'单机全档'!E28</f>
        <v>237735.93749999994</v>
      </c>
    </row>
    <row r="33" ht="30" customHeight="1" spans="1:18" x14ac:dyDescent="0.25">
      <c r="A33" s="4"/>
      <c r="B33" s="4"/>
      <c r="C33" s="4"/>
      <c r="D33" s="4">
        <v>10000</v>
      </c>
      <c r="E33" s="4" t="str">
        <f>TEXT('单机全档'!T29,"0.000")&amp;"–"&amp;TEXT('单机全档'!U29,"0.000")</f>
        <v>2.111–2.156</v>
      </c>
      <c r="F33" s="4" t="str">
        <f>TEXT('单机全档'!V29,"0.000")&amp;"–"&amp;TEXT('单机全档'!W29,"0.000")</f>
        <v>3.099–3.225</v>
      </c>
      <c r="G33" s="4" t="str">
        <f>TEXT('单机全档'!X29,"0.000")&amp;"–"&amp;TEXT('单机全档'!Y29,"0.000")</f>
        <v>10.432–17.093</v>
      </c>
      <c r="H33" s="5">
        <f>'单机全档'!M29</f>
        <v>1</v>
      </c>
      <c r="I33" s="6">
        <f>'单机全档'!N29</f>
        <v>152.5162725987924</v>
      </c>
      <c r="J33" s="4" t="str">
        <f>TEXT('单机全档'!Z29,"0.000")&amp;"–"&amp;TEXT('单机全档'!AA29,"0.000")</f>
        <v>-16.026–-15.977</v>
      </c>
      <c r="K33" s="4" t="str">
        <f>TEXT('单机全档'!AB29,"0.000")&amp;"–"&amp;TEXT('单机全档'!AC29,"0.000")</f>
        <v>-14.717–-14.620</v>
      </c>
      <c r="L33" s="4" t="str">
        <f>TEXT('单机全档'!AD29,"0.000")&amp;"–"&amp;TEXT('单机全档'!AE29,"0.000")</f>
        <v>-10.559–-5.870</v>
      </c>
      <c r="M33" s="4" t="s">
        <v>23</v>
      </c>
      <c r="N33" s="4" t="s">
        <v>23</v>
      </c>
      <c r="O33" s="4" t="s">
        <v>23</v>
      </c>
      <c r="P33" s="7">
        <f>I33*'单机全档'!E29</f>
        <v>457548.8177963772</v>
      </c>
      <c r="Q33" s="6">
        <f>'单机全档'!O29</f>
        <v>158.475</v>
      </c>
      <c r="R33" s="7">
        <f>Q33*'单机全档'!E29</f>
        <v>475425</v>
      </c>
    </row>
    <row r="34" ht="30" customHeight="1" spans="1:18" x14ac:dyDescent="0.25">
      <c r="A34" s="4"/>
      <c r="B34" s="4"/>
      <c r="C34" s="4"/>
      <c r="D34" s="4">
        <v>15000</v>
      </c>
      <c r="E34" s="4" t="str">
        <f>TEXT('单机全档'!T30,"0.000")&amp;"–"&amp;TEXT('单机全档'!U30,"0.000")</f>
        <v>2.183–2.247</v>
      </c>
      <c r="F34" s="4" t="str">
        <f>TEXT('单机全档'!V30,"0.000")&amp;"–"&amp;TEXT('单机全档'!W30,"0.000")</f>
        <v>4.472–5.863</v>
      </c>
      <c r="G34" s="4" t="str">
        <f>TEXT('单机全档'!X30,"0.000")&amp;"–"&amp;TEXT('单机全档'!Y30,"0.000")</f>
        <v>28.763–47.275</v>
      </c>
      <c r="H34" s="5">
        <f>'单机全档'!M30</f>
        <v>1</v>
      </c>
      <c r="I34" s="6">
        <f>'单机全档'!N30</f>
        <v>228.77685034136078</v>
      </c>
      <c r="J34" s="4" t="str">
        <f>TEXT('单机全档'!Z30,"0.000")&amp;"–"&amp;TEXT('单机全档'!AA30,"0.000")</f>
        <v>-15.968–-15.907</v>
      </c>
      <c r="K34" s="4" t="str">
        <f>TEXT('单机全档'!AB30,"0.000")&amp;"–"&amp;TEXT('单机全档'!AC30,"0.000")</f>
        <v>-13.526–-12.838</v>
      </c>
      <c r="L34" s="4" t="str">
        <f>TEXT('单机全档'!AD30,"0.000")&amp;"–"&amp;TEXT('单机全档'!AE30,"0.000")</f>
        <v>6.748–13.209</v>
      </c>
      <c r="M34" s="4" t="s">
        <v>23</v>
      </c>
      <c r="N34" s="4" t="s">
        <v>23</v>
      </c>
      <c r="O34" s="4" t="s">
        <v>23</v>
      </c>
      <c r="P34" s="7">
        <f>I34*'单机全档'!E30</f>
        <v>686330.5510240823</v>
      </c>
      <c r="Q34" s="6">
        <f>'单机全档'!O30</f>
        <v>237.72812500000003</v>
      </c>
      <c r="R34" s="7">
        <f>Q34*'单机全档'!E30</f>
        <v>713184.3750000001</v>
      </c>
    </row>
    <row r="35" ht="30" customHeight="1" spans="1:18" x14ac:dyDescent="0.25">
      <c r="A35" s="4"/>
      <c r="B35" s="4"/>
      <c r="C35" s="4"/>
      <c r="D35" s="4">
        <v>18000</v>
      </c>
      <c r="E35" s="4" t="str">
        <f>TEXT('单机全档'!T31,"0.000")&amp;"–"&amp;TEXT('单机全档'!U31,"0.000")</f>
        <v>14.023–14.578</v>
      </c>
      <c r="F35" s="4" t="str">
        <f>TEXT('单机全档'!V31,"0.000")&amp;"–"&amp;TEXT('单机全档'!W31,"0.000")</f>
        <v>30.288–32.228</v>
      </c>
      <c r="G35" s="4" t="str">
        <f>TEXT('单机全档'!X31,"0.000")&amp;"–"&amp;TEXT('单机全档'!Y31,"0.000")</f>
        <v>79.456–105.608</v>
      </c>
      <c r="H35" s="5">
        <f>'单机全档'!M31</f>
        <v>1</v>
      </c>
      <c r="I35" s="6">
        <f>'单机全档'!N31</f>
        <v>274.34813132212196</v>
      </c>
      <c r="J35" s="4" t="str">
        <f>TEXT('单机全档'!Z31,"0.000")&amp;"–"&amp;TEXT('单机全档'!AA31,"0.000")</f>
        <v>2.241–2.912</v>
      </c>
      <c r="K35" s="4" t="str">
        <f>TEXT('单机全档'!AB31,"0.000")&amp;"–"&amp;TEXT('单机全档'!AC31,"0.000")</f>
        <v>21.574–23.412</v>
      </c>
      <c r="L35" s="4" t="str">
        <f>TEXT('单机全档'!AD31,"0.000")&amp;"–"&amp;TEXT('单机全档'!AE31,"0.000")</f>
        <v>52.705–68.246</v>
      </c>
      <c r="M35" s="4" t="s">
        <v>23</v>
      </c>
      <c r="N35" s="4" t="s">
        <v>23</v>
      </c>
      <c r="O35" s="4" t="s">
        <v>23</v>
      </c>
      <c r="P35" s="7">
        <f>I35*'单机全档'!E31</f>
        <v>823044.3939663658</v>
      </c>
      <c r="Q35" s="6">
        <f>'单机全档'!O31</f>
        <v>285.07812499999994</v>
      </c>
      <c r="R35" s="7">
        <f>Q35*'单机全档'!E31</f>
        <v>855234.3749999999</v>
      </c>
    </row>
    <row r="36" ht="30" customHeight="1" spans="1:18" x14ac:dyDescent="0.25">
      <c r="A36" s="4"/>
      <c r="B36" s="4"/>
      <c r="C36" s="4">
        <v>100</v>
      </c>
      <c r="D36" s="4">
        <v>1000</v>
      </c>
      <c r="E36" s="4" t="str">
        <f>TEXT('单机全档'!T32,"0.000")&amp;"–"&amp;TEXT('单机全档'!U32,"0.000")</f>
        <v>2.768–2.861</v>
      </c>
      <c r="F36" s="4" t="str">
        <f>TEXT('单机全档'!V32,"0.000")&amp;"–"&amp;TEXT('单机全档'!W32,"0.000")</f>
        <v>3.948–4.143</v>
      </c>
      <c r="G36" s="4" t="str">
        <f>TEXT('单机全档'!X32,"0.000")&amp;"–"&amp;TEXT('单机全档'!Y32,"0.000")</f>
        <v>5.630–8.769</v>
      </c>
      <c r="H36" s="5">
        <f>'单机全档'!M32</f>
        <v>1</v>
      </c>
      <c r="I36" s="6">
        <f>'单机全档'!N32</f>
        <v>15.245725430583967</v>
      </c>
      <c r="J36" s="4" t="str">
        <f>TEXT('单机全档'!Z32,"0.000")&amp;"–"&amp;TEXT('单机全档'!AA32,"0.000")</f>
        <v>-5.433–-4.968</v>
      </c>
      <c r="K36" s="4" t="str">
        <f>TEXT('单机全档'!AB32,"0.000")&amp;"–"&amp;TEXT('单机全档'!AC32,"0.000")</f>
        <v>-3.419–-2.615</v>
      </c>
      <c r="L36" s="4" t="str">
        <f>TEXT('单机全档'!AD32,"0.000")&amp;"–"&amp;TEXT('单机全档'!AE32,"0.000")</f>
        <v>-1.235–1.716</v>
      </c>
      <c r="M36" s="4" t="s">
        <v>23</v>
      </c>
      <c r="N36" s="4" t="s">
        <v>23</v>
      </c>
      <c r="O36" s="4" t="s">
        <v>23</v>
      </c>
      <c r="P36" s="7">
        <f>I36*'单机全档'!E32</f>
        <v>91474.3525835038</v>
      </c>
      <c r="Q36" s="6">
        <f>'单机全档'!O32</f>
        <v>15.837499999999995</v>
      </c>
      <c r="R36" s="7">
        <f>Q36*'单机全档'!E32</f>
        <v>95024.99999999997</v>
      </c>
    </row>
    <row r="37" ht="30" customHeight="1" spans="1:18" x14ac:dyDescent="0.25">
      <c r="A37" s="4"/>
      <c r="B37" s="4"/>
      <c r="C37" s="4"/>
      <c r="D37" s="4">
        <v>2000</v>
      </c>
      <c r="E37" s="4" t="str">
        <f>TEXT('单机全档'!T33,"0.000")&amp;"–"&amp;TEXT('单机全档'!U33,"0.000")</f>
        <v>2.078–2.183</v>
      </c>
      <c r="F37" s="4" t="str">
        <f>TEXT('单机全档'!V33,"0.000")&amp;"–"&amp;TEXT('单机全档'!W33,"0.000")</f>
        <v>3.079–3.274</v>
      </c>
      <c r="G37" s="4" t="str">
        <f>TEXT('单机全档'!X33,"0.000")&amp;"–"&amp;TEXT('单机全档'!Y33,"0.000")</f>
        <v>4.585–7.179</v>
      </c>
      <c r="H37" s="5">
        <f>'单机全档'!M33</f>
        <v>1</v>
      </c>
      <c r="I37" s="6">
        <f>'单机全档'!N33</f>
        <v>30.475973444170872</v>
      </c>
      <c r="J37" s="4" t="str">
        <f>TEXT('单机全档'!Z33,"0.000")&amp;"–"&amp;TEXT('单机全档'!AA33,"0.000")</f>
        <v>-5.603–-5.257</v>
      </c>
      <c r="K37" s="4" t="str">
        <f>TEXT('单机全档'!AB33,"0.000")&amp;"–"&amp;TEXT('单机全档'!AC33,"0.000")</f>
        <v>-3.874–-3.155</v>
      </c>
      <c r="L37" s="4" t="str">
        <f>TEXT('单机全档'!AD33,"0.000")&amp;"–"&amp;TEXT('单机全档'!AE33,"0.000")</f>
        <v>-2.251–0.035</v>
      </c>
      <c r="M37" s="4" t="s">
        <v>23</v>
      </c>
      <c r="N37" s="4" t="s">
        <v>23</v>
      </c>
      <c r="O37" s="4" t="s">
        <v>23</v>
      </c>
      <c r="P37" s="7">
        <f>I37*'单机全档'!E33</f>
        <v>182855.84066502523</v>
      </c>
      <c r="Q37" s="6">
        <f>'单机全档'!O33</f>
        <v>31.659375</v>
      </c>
      <c r="R37" s="7">
        <f>Q37*'单机全档'!E33</f>
        <v>189956.25</v>
      </c>
    </row>
    <row r="38" ht="30" customHeight="1" spans="1:18" x14ac:dyDescent="0.25">
      <c r="A38" s="4"/>
      <c r="B38" s="4"/>
      <c r="C38" s="4"/>
      <c r="D38" s="4">
        <v>5000</v>
      </c>
      <c r="E38" s="4" t="str">
        <f>TEXT('单机全档'!T34,"0.000")&amp;"–"&amp;TEXT('单机全档'!U34,"0.000")</f>
        <v>2.053–2.117</v>
      </c>
      <c r="F38" s="4" t="str">
        <f>TEXT('单机全档'!V34,"0.000")&amp;"–"&amp;TEXT('单机全档'!W34,"0.000")</f>
        <v>2.811–2.897</v>
      </c>
      <c r="G38" s="4" t="str">
        <f>TEXT('单机全档'!X34,"0.000")&amp;"–"&amp;TEXT('单机全档'!Y34,"0.000")</f>
        <v>5.568–8.912</v>
      </c>
      <c r="H38" s="5">
        <f>'单机全档'!M34</f>
        <v>1</v>
      </c>
      <c r="I38" s="6">
        <f>'单机全档'!N34</f>
        <v>76.14261885767246</v>
      </c>
      <c r="J38" s="4" t="str">
        <f>TEXT('单机全档'!Z34,"0.000")&amp;"–"&amp;TEXT('单机全档'!AA34,"0.000")</f>
        <v>-5.567–-5.272</v>
      </c>
      <c r="K38" s="4" t="str">
        <f>TEXT('单机全档'!AB34,"0.000")&amp;"–"&amp;TEXT('单机全档'!AC34,"0.000")</f>
        <v>-3.707–-3.543</v>
      </c>
      <c r="L38" s="4" t="str">
        <f>TEXT('单机全档'!AD34,"0.000")&amp;"–"&amp;TEXT('单机全档'!AE34,"0.000")</f>
        <v>-1.868–-0.017</v>
      </c>
      <c r="M38" s="4" t="s">
        <v>23</v>
      </c>
      <c r="N38" s="4" t="s">
        <v>23</v>
      </c>
      <c r="O38" s="4" t="s">
        <v>23</v>
      </c>
      <c r="P38" s="7">
        <f>I38*'单机全档'!E34</f>
        <v>456855.71314603474</v>
      </c>
      <c r="Q38" s="6">
        <f>'单机全档'!O34</f>
        <v>79.11874999999999</v>
      </c>
      <c r="R38" s="7">
        <f>Q38*'单机全档'!E34</f>
        <v>474712.49999999994</v>
      </c>
    </row>
    <row r="39" ht="30" customHeight="1" spans="1:18" x14ac:dyDescent="0.25">
      <c r="A39" s="4"/>
      <c r="B39" s="4"/>
      <c r="C39" s="4"/>
      <c r="D39" s="4">
        <v>10000</v>
      </c>
      <c r="E39" s="4" t="str">
        <f>TEXT('单机全档'!T35,"0.000")&amp;"–"&amp;TEXT('单机全档'!U35,"0.000")</f>
        <v>6.837–7.767</v>
      </c>
      <c r="F39" s="4" t="str">
        <f>TEXT('单机全档'!V35,"0.000")&amp;"–"&amp;TEXT('单机全档'!W35,"0.000")</f>
        <v>19.510–24.685</v>
      </c>
      <c r="G39" s="4" t="str">
        <f>TEXT('单机全档'!X35,"0.000")&amp;"–"&amp;TEXT('单机全档'!Y35,"0.000")</f>
        <v>60.650–70.644</v>
      </c>
      <c r="H39" s="5">
        <f>'单机全档'!M35</f>
        <v>1</v>
      </c>
      <c r="I39" s="6">
        <f>'单机全档'!N35</f>
        <v>152.23857928061045</v>
      </c>
      <c r="J39" s="4" t="str">
        <f>TEXT('单机全档'!Z35,"0.000")&amp;"–"&amp;TEXT('单机全档'!AA35,"0.000")</f>
        <v>1.908–2.627</v>
      </c>
      <c r="K39" s="4" t="str">
        <f>TEXT('单机全档'!AB35,"0.000")&amp;"–"&amp;TEXT('单机全档'!AC35,"0.000")</f>
        <v>15.002–18.215</v>
      </c>
      <c r="L39" s="4" t="str">
        <f>TEXT('单机全档'!AD35,"0.000")&amp;"–"&amp;TEXT('单机全档'!AE35,"0.000")</f>
        <v>39.723–50.769</v>
      </c>
      <c r="M39" s="4" t="s">
        <v>23</v>
      </c>
      <c r="N39" s="4" t="s">
        <v>23</v>
      </c>
      <c r="O39" s="4" t="s">
        <v>23</v>
      </c>
      <c r="P39" s="7">
        <f>I39*'单机全档'!E35</f>
        <v>913431.4756836627</v>
      </c>
      <c r="Q39" s="6">
        <f>'单机全档'!O35</f>
        <v>158.19218750000002</v>
      </c>
      <c r="R39" s="7">
        <f>Q39*'单机全档'!E35</f>
        <v>949153.1250000001</v>
      </c>
    </row>
    <row r="40" ht="30" customHeight="1" spans="1:18" x14ac:dyDescent="0.25">
      <c r="A40" s="4"/>
      <c r="B40" s="4"/>
      <c r="C40" s="4"/>
      <c r="D40" s="4">
        <v>15000</v>
      </c>
      <c r="E40" s="4" t="str">
        <f>TEXT('单机全档'!T36,"0.000")&amp;"–"&amp;TEXT('单机全档'!U36,"0.000")</f>
        <v>23.683–28.679</v>
      </c>
      <c r="F40" s="4" t="str">
        <f>TEXT('单机全档'!V36,"0.000")&amp;"–"&amp;TEXT('单机全档'!W36,"0.000")</f>
        <v>83.969–103.768</v>
      </c>
      <c r="G40" s="4" t="str">
        <f>TEXT('单机全档'!X36,"0.000")&amp;"–"&amp;TEXT('单机全档'!Y36,"0.000")</f>
        <v>132.249–184.997</v>
      </c>
      <c r="H40" s="5">
        <f>'单机全档'!M36</f>
        <v>1</v>
      </c>
      <c r="I40" s="6">
        <f>'单机全档'!N36</f>
        <v>227.70102876935675</v>
      </c>
      <c r="J40" s="4" t="str">
        <f>TEXT('单机全档'!Z36,"0.000")&amp;"–"&amp;TEXT('单机全档'!AA36,"0.000")</f>
        <v>26.032–31.648</v>
      </c>
      <c r="K40" s="4" t="str">
        <f>TEXT('单机全档'!AB36,"0.000")&amp;"–"&amp;TEXT('单机全档'!AC36,"0.000")</f>
        <v>104.289–126.037</v>
      </c>
      <c r="L40" s="4" t="str">
        <f>TEXT('单机全档'!AD36,"0.000")&amp;"–"&amp;TEXT('单机全档'!AE36,"0.000")</f>
        <v>318.567–364.845</v>
      </c>
      <c r="M40" s="4" t="s">
        <v>23</v>
      </c>
      <c r="N40" s="4" t="s">
        <v>23</v>
      </c>
      <c r="O40" s="4" t="s">
        <v>23</v>
      </c>
      <c r="P40" s="7">
        <f>I40*'单机全档'!E36</f>
        <v>1366206.1726161405</v>
      </c>
      <c r="Q40" s="6">
        <f>'单机全档'!O36</f>
        <v>236.57812499999997</v>
      </c>
      <c r="R40" s="7">
        <f>Q40*'单机全档'!E36</f>
        <v>1419468.7499999998</v>
      </c>
    </row>
    <row r="41" ht="30" customHeight="1" spans="1:18" x14ac:dyDescent="0.25">
      <c r="A41" s="4"/>
      <c r="B41" s="4"/>
      <c r="C41" s="4"/>
      <c r="D41" s="4">
        <v>18000</v>
      </c>
      <c r="E41" s="4" t="str">
        <f>TEXT('单机全档'!T37,"0.000")&amp;"–"&amp;TEXT('单机全档'!U37,"0.000")</f>
        <v>53.956–80.838</v>
      </c>
      <c r="F41" s="4" t="str">
        <f>TEXT('单机全档'!V37,"0.000")&amp;"–"&amp;TEXT('单机全档'!W37,"0.000")</f>
        <v>127.103–234.488</v>
      </c>
      <c r="G41" s="4" t="str">
        <f>TEXT('单机全档'!X37,"0.000")&amp;"–"&amp;TEXT('单机全档'!Y37,"0.000")</f>
        <v>224.454–480.532</v>
      </c>
      <c r="H41" s="5">
        <f>'单机全档'!M37</f>
        <v>1</v>
      </c>
      <c r="I41" s="6">
        <f>'单机全档'!N37</f>
        <v>272.3460080337824</v>
      </c>
      <c r="J41" s="4" t="str">
        <f>TEXT('单机全档'!Z37,"0.000")&amp;"–"&amp;TEXT('单机全档'!AA37,"0.000")</f>
        <v>58.805–73.890</v>
      </c>
      <c r="K41" s="4" t="str">
        <f>TEXT('单机全档'!AB37,"0.000")&amp;"–"&amp;TEXT('单机全档'!AC37,"0.000")</f>
        <v>255.841–314.315</v>
      </c>
      <c r="L41" s="4" t="str">
        <f>TEXT('单机全档'!AD37,"0.000")&amp;"–"&amp;TEXT('单机全档'!AE37,"0.000")</f>
        <v>703.564–803.967</v>
      </c>
      <c r="M41" s="4" t="s">
        <v>23</v>
      </c>
      <c r="N41" s="4" t="s">
        <v>23</v>
      </c>
      <c r="O41" s="4" t="s">
        <v>23</v>
      </c>
      <c r="P41" s="7">
        <f>I41*'单机全档'!E37</f>
        <v>1634076.0482026946</v>
      </c>
      <c r="Q41" s="6">
        <f>'单机全档'!O37</f>
        <v>282.8671875</v>
      </c>
      <c r="R41" s="7">
        <f>Q41*'单机全档'!E37</f>
        <v>1697203.125</v>
      </c>
    </row>
    <row r="42" ht="38" customHeight="1" spans="1:18" x14ac:dyDescent="0.25">
      <c r="A42" s="2" t="s">
        <v>26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38" customHeight="1" spans="1:18" x14ac:dyDescent="0.25">
      <c r="A43" s="4" t="s">
        <v>27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38" customHeight="1" spans="1:18" x14ac:dyDescent="0.25">
      <c r="A44" s="4" t="s">
        <v>28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38" customHeight="1" spans="1:18" x14ac:dyDescent="0.25">
      <c r="A45" s="4" t="s">
        <v>29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38" customHeight="1" spans="1:18" x14ac:dyDescent="0.25">
      <c r="A46" s="4" t="s">
        <v>30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38" customHeight="1" spans="1:18" x14ac:dyDescent="0.25">
      <c r="A47" s="4" t="s">
        <v>31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38" customHeight="1" spans="1:18" x14ac:dyDescent="0.25">
      <c r="A48" s="4" t="s">
        <v>32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38" customHeight="1" spans="1:18" x14ac:dyDescent="0.25">
      <c r="A49" s="4" t="s">
        <v>33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38" customHeight="1" spans="1:18" x14ac:dyDescent="0.25">
      <c r="A50" s="4" t="s">
        <v>34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</sheetData>
  <mergeCells count="34">
    <mergeCell ref="A1:R1"/>
    <mergeCell ref="A2:R2"/>
    <mergeCell ref="A3:R3"/>
    <mergeCell ref="E4:G4"/>
    <mergeCell ref="J4:L4"/>
    <mergeCell ref="M4:O4"/>
    <mergeCell ref="A4:A5"/>
    <mergeCell ref="B4:B5"/>
    <mergeCell ref="C4:C5"/>
    <mergeCell ref="D4:D5"/>
    <mergeCell ref="H4:H5"/>
    <mergeCell ref="I4:I5"/>
    <mergeCell ref="P4:P5"/>
    <mergeCell ref="Q4:Q5"/>
    <mergeCell ref="R4:R5"/>
    <mergeCell ref="A6:A23"/>
    <mergeCell ref="B6:B23"/>
    <mergeCell ref="C6:C11"/>
    <mergeCell ref="C12:C17"/>
    <mergeCell ref="C18:C23"/>
    <mergeCell ref="A24:A41"/>
    <mergeCell ref="B24:B41"/>
    <mergeCell ref="C24:C29"/>
    <mergeCell ref="C30:C35"/>
    <mergeCell ref="C36:C41"/>
    <mergeCell ref="A42:R42"/>
    <mergeCell ref="A43:R43"/>
    <mergeCell ref="A44:R44"/>
    <mergeCell ref="A45:R45"/>
    <mergeCell ref="A46:R46"/>
    <mergeCell ref="A47:R47"/>
    <mergeCell ref="A48:R48"/>
    <mergeCell ref="A49:R49"/>
    <mergeCell ref="A50:R50"/>
  </mergeCells>
  <conditionalFormatting sqref="H6:H41">
    <cfRule type="cellIs" dxfId="0" priority="1" operator="lessThan">
      <formula>1</formula>
    </cfRule>
  </conditionalFormatting>
  <conditionalFormatting sqref="I6:I41">
    <cfRule type="dataBar" priority="2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{54185A6E-1063-4BBC-8CDA-11844C4CFA82}</x14:id>
        </ext>
      </extLst>
    </cfRule>
  </conditionalFormatting>
  <conditionalFormatting sqref="P6:P41">
    <cfRule type="dataBar" priority="3">
      <dataBar>
        <cfvo type="min"/>
        <cfvo type="max"/>
        <color rgb="FF548235"/>
      </dataBar>
      <extLst>
        <ext xmlns:x14="http://schemas.microsoft.com/office/spreadsheetml/2009/9/main" uri="{B025F937-C7B1-47D3-B67F-A62EFF666E3E}">
          <x14:id>{7AC1C6B1-5512-4215-BBFB-DCE508895352}</x14:id>
        </ext>
      </extLst>
    </cfRule>
  </conditionalFormatting>
  <pageSetup paperSize="3" orientation="landscape" fitToWidth="1" fitToHeight="0"/>
  <headerFooter>
    <oddFooter>&amp;Lxrouter | 2026-10-14整理&amp;R第 &amp;P 页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185A6E-1063-4BBC-8CDA-11844C4CFA82}">
            <x14:dataBar minLength="0" maxLength="100">
              <x14:cfvo type="min"/>
              <x14:cfvo type="max"/>
            </x14:dataBar>
          </x14:cfRule>
          <xm:sqref>I6:I41</xm:sqref>
        </x14:conditionalFormatting>
        <x14:conditionalFormatting xmlns:xm="http://schemas.microsoft.com/office/excel/2006/main">
          <x14:cfRule type="dataBar" id="{7AC1C6B1-5512-4215-BBFB-DCE508895352}">
            <x14:dataBar minLength="0" maxLength="100">
              <x14:cfvo type="min"/>
              <x14:cfvo type="max"/>
            </x14:dataBar>
          </x14:cfRule>
          <xm:sqref>P6:P41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7"/>
  <sheetViews>
    <sheetView workbookViewId="0" zoomScale="85">
      <pane xSplit="8" ySplit="1" topLeftCell="I2" activePane="bottomRight" state="frozen"/>
      <selection pane="bottomRight"/>
    </sheetView>
  </sheetViews>
  <sheetFormatPr defaultRowHeight="15" outlineLevelRow="0" outlineLevelCol="0" x14ac:dyDescent="55"/>
  <cols>
    <col min="1" max="3" width="10" customWidth="1"/>
    <col min="4" max="41" width="22" customWidth="1"/>
    <col min="42" max="47" width="36" customWidth="1"/>
  </cols>
  <sheetData>
    <row r="1" ht="44" customHeight="1" spans="1:47" x14ac:dyDescent="0.25">
      <c r="A1" s="3" t="s">
        <v>35</v>
      </c>
      <c r="B1" s="3" t="s">
        <v>36</v>
      </c>
      <c r="C1" s="3" t="s">
        <v>37</v>
      </c>
      <c r="D1" s="3" t="s">
        <v>5</v>
      </c>
      <c r="E1" s="3" t="s">
        <v>38</v>
      </c>
      <c r="F1" s="3" t="s">
        <v>39</v>
      </c>
      <c r="G1" s="3" t="s">
        <v>40</v>
      </c>
      <c r="H1" s="3" t="s">
        <v>6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8</v>
      </c>
      <c r="N1" s="3" t="s">
        <v>45</v>
      </c>
      <c r="O1" s="3" t="s">
        <v>13</v>
      </c>
      <c r="P1" s="3" t="s">
        <v>46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3" t="s">
        <v>52</v>
      </c>
      <c r="W1" s="3" t="s">
        <v>53</v>
      </c>
      <c r="X1" s="3" t="s">
        <v>54</v>
      </c>
      <c r="Y1" s="3" t="s">
        <v>55</v>
      </c>
      <c r="Z1" s="3" t="s">
        <v>56</v>
      </c>
      <c r="AA1" s="3" t="s">
        <v>57</v>
      </c>
      <c r="AB1" s="3" t="s">
        <v>58</v>
      </c>
      <c r="AC1" s="3" t="s">
        <v>59</v>
      </c>
      <c r="AD1" s="3" t="s">
        <v>60</v>
      </c>
      <c r="AE1" s="3" t="s">
        <v>61</v>
      </c>
      <c r="AF1" s="3" t="s">
        <v>62</v>
      </c>
      <c r="AG1" s="3" t="s">
        <v>63</v>
      </c>
      <c r="AH1" s="3" t="s">
        <v>64</v>
      </c>
      <c r="AI1" s="3" t="s">
        <v>65</v>
      </c>
      <c r="AJ1" s="3" t="s">
        <v>66</v>
      </c>
      <c r="AK1" s="3" t="s">
        <v>67</v>
      </c>
      <c r="AL1" s="3" t="s">
        <v>68</v>
      </c>
      <c r="AM1" s="3" t="s">
        <v>69</v>
      </c>
      <c r="AN1" s="3" t="s">
        <v>70</v>
      </c>
      <c r="AO1" s="3" t="s">
        <v>71</v>
      </c>
      <c r="AP1" s="3" t="s">
        <v>72</v>
      </c>
      <c r="AQ1" s="3" t="s">
        <v>73</v>
      </c>
      <c r="AR1" s="3" t="s">
        <v>74</v>
      </c>
      <c r="AS1" s="3" t="s">
        <v>75</v>
      </c>
      <c r="AT1" s="3" t="s">
        <v>76</v>
      </c>
      <c r="AU1" s="3" t="s">
        <v>77</v>
      </c>
    </row>
    <row r="2" ht="30" customHeight="1" spans="1:47" x14ac:dyDescent="0.25">
      <c r="A2" s="4" t="s">
        <v>78</v>
      </c>
      <c r="B2" s="4">
        <v>5</v>
      </c>
      <c r="C2" s="4">
        <v>300</v>
      </c>
      <c r="D2" s="8">
        <f>1000/F2</f>
        <v>20</v>
      </c>
      <c r="E2" s="4">
        <v>100</v>
      </c>
      <c r="F2" s="4">
        <v>50</v>
      </c>
      <c r="G2" s="8">
        <f>500+E2*F2</f>
        <v>5500</v>
      </c>
      <c r="H2" s="4">
        <v>1000</v>
      </c>
      <c r="I2" s="4">
        <v>58236</v>
      </c>
      <c r="J2" s="4">
        <v>29006</v>
      </c>
      <c r="K2" s="5">
        <f>J2/I2</f>
        <v>0.4980767909883921</v>
      </c>
      <c r="L2" s="5">
        <v>0.5</v>
      </c>
      <c r="M2" s="5">
        <v>1</v>
      </c>
      <c r="N2" s="6">
        <v>173.63294552835683</v>
      </c>
      <c r="O2" s="6">
        <v>183.24000000000004</v>
      </c>
      <c r="P2" s="7">
        <f>N2*E2</f>
        <v>17363.294552835683</v>
      </c>
      <c r="Q2" s="7">
        <f>O2*E2</f>
        <v>18324.000000000004</v>
      </c>
      <c r="R2" s="7">
        <f>P2*60</f>
        <v>1041797.673170141</v>
      </c>
      <c r="S2" s="7">
        <f>Q2*60</f>
        <v>1099440.0000000002</v>
      </c>
      <c r="T2" s="6">
        <v>4.442813000000001</v>
      </c>
      <c r="U2" s="6">
        <v>4.789852999999994</v>
      </c>
      <c r="V2" s="6">
        <v>11.228258700000026</v>
      </c>
      <c r="W2" s="6">
        <v>12.417435999999952</v>
      </c>
      <c r="X2" s="6">
        <v>20.392393000000084</v>
      </c>
      <c r="Y2" s="6">
        <v>22.27517750000004</v>
      </c>
      <c r="Z2" s="6">
        <v>-45.66680600000018</v>
      </c>
      <c r="AA2" s="6">
        <v>-45.41177450000032</v>
      </c>
      <c r="AB2" s="6">
        <v>-40.43786100000034</v>
      </c>
      <c r="AC2" s="6">
        <v>-39.83234100000027</v>
      </c>
      <c r="AD2" s="6">
        <v>-32.526681700000154</v>
      </c>
      <c r="AE2" s="6">
        <v>-30.785860360000697</v>
      </c>
      <c r="AF2" s="6">
        <v>0</v>
      </c>
      <c r="AG2" s="6">
        <v>0</v>
      </c>
      <c r="AH2" s="6">
        <v>1</v>
      </c>
      <c r="AI2" s="6">
        <v>1</v>
      </c>
      <c r="AJ2" s="6">
        <v>1</v>
      </c>
      <c r="AK2" s="6">
        <v>1</v>
      </c>
      <c r="AL2" s="6">
        <v>506.0192568756098</v>
      </c>
      <c r="AM2" s="6">
        <v>5455.506855890996</v>
      </c>
      <c r="AN2" s="6">
        <v>5457.998806993765</v>
      </c>
      <c r="AO2" s="9">
        <v>999.5434311604928</v>
      </c>
      <c r="AP2" s="4" t="s">
        <v>79</v>
      </c>
      <c r="AQ2" s="4" t="s">
        <v>80</v>
      </c>
      <c r="AR2" s="4" t="s">
        <v>81</v>
      </c>
      <c r="AS2" s="4" t="s">
        <v>23</v>
      </c>
      <c r="AT2" s="4" t="s">
        <v>23</v>
      </c>
      <c r="AU2" s="4" t="s">
        <v>23</v>
      </c>
    </row>
    <row r="3" ht="30" customHeight="1" spans="1:47" x14ac:dyDescent="0.25">
      <c r="A3" s="4" t="s">
        <v>78</v>
      </c>
      <c r="B3" s="4">
        <v>5</v>
      </c>
      <c r="C3" s="4">
        <v>300</v>
      </c>
      <c r="D3" s="8">
        <f>1000/F3</f>
        <v>20</v>
      </c>
      <c r="E3" s="4">
        <v>100</v>
      </c>
      <c r="F3" s="4">
        <v>50</v>
      </c>
      <c r="G3" s="8">
        <f>500+E3*F3</f>
        <v>5500</v>
      </c>
      <c r="H3" s="4">
        <v>2000</v>
      </c>
      <c r="I3" s="4">
        <v>116484</v>
      </c>
      <c r="J3" s="4">
        <v>58268</v>
      </c>
      <c r="K3" s="5">
        <f>J3/I3</f>
        <v>0.5002232066206518</v>
      </c>
      <c r="L3" s="5">
        <v>0.5</v>
      </c>
      <c r="M3" s="5">
        <v>1</v>
      </c>
      <c r="N3" s="6">
        <v>347.2829734867364</v>
      </c>
      <c r="O3" s="6">
        <v>366.4666666666666</v>
      </c>
      <c r="P3" s="7">
        <f>N3*E3</f>
        <v>34728.297348673645</v>
      </c>
      <c r="Q3" s="7">
        <f>O3*E3</f>
        <v>36646.66666666666</v>
      </c>
      <c r="R3" s="7">
        <f>P3*60</f>
        <v>2083697.8409204187</v>
      </c>
      <c r="S3" s="7">
        <f>Q3*60</f>
        <v>2198799.9999999995</v>
      </c>
      <c r="T3" s="6">
        <v>3.4494530000000054</v>
      </c>
      <c r="U3" s="6">
        <v>3.535199999999975</v>
      </c>
      <c r="V3" s="6">
        <v>6.315259000000026</v>
      </c>
      <c r="W3" s="6">
        <v>6.487389600000029</v>
      </c>
      <c r="X3" s="6">
        <v>9.544208900000001</v>
      </c>
      <c r="Y3" s="6">
        <v>10.323964810000007</v>
      </c>
      <c r="Z3" s="6">
        <v>-46.24176400000033</v>
      </c>
      <c r="AA3" s="6">
        <v>-46.16399100000035</v>
      </c>
      <c r="AB3" s="6">
        <v>-43.49573979999968</v>
      </c>
      <c r="AC3" s="6">
        <v>-43.28086479999911</v>
      </c>
      <c r="AD3" s="6">
        <v>-40.6753341600006</v>
      </c>
      <c r="AE3" s="6">
        <v>-39.988902600000074</v>
      </c>
      <c r="AF3" s="6">
        <v>0</v>
      </c>
      <c r="AG3" s="6">
        <v>0</v>
      </c>
      <c r="AH3" s="6">
        <v>1</v>
      </c>
      <c r="AI3" s="6">
        <v>1</v>
      </c>
      <c r="AJ3" s="6">
        <v>1</v>
      </c>
      <c r="AK3" s="6">
        <v>1</v>
      </c>
      <c r="AL3" s="6">
        <v>503.93894104784346</v>
      </c>
      <c r="AM3" s="6">
        <v>5454.249311413089</v>
      </c>
      <c r="AN3" s="6">
        <v>5456.798233079735</v>
      </c>
      <c r="AO3" s="9">
        <v>1999.0657813456558</v>
      </c>
      <c r="AP3" s="4" t="s">
        <v>79</v>
      </c>
      <c r="AQ3" s="4" t="s">
        <v>80</v>
      </c>
      <c r="AR3" s="4" t="s">
        <v>82</v>
      </c>
      <c r="AS3" s="4" t="s">
        <v>23</v>
      </c>
      <c r="AT3" s="4" t="s">
        <v>23</v>
      </c>
      <c r="AU3" s="4" t="s">
        <v>23</v>
      </c>
    </row>
    <row r="4" ht="30" customHeight="1" spans="1:47" x14ac:dyDescent="0.25">
      <c r="A4" s="4" t="s">
        <v>78</v>
      </c>
      <c r="B4" s="4">
        <v>5</v>
      </c>
      <c r="C4" s="4">
        <v>300</v>
      </c>
      <c r="D4" s="8">
        <f>1000/F4</f>
        <v>20</v>
      </c>
      <c r="E4" s="4">
        <v>100</v>
      </c>
      <c r="F4" s="4">
        <v>50</v>
      </c>
      <c r="G4" s="8">
        <f>500+E4*F4</f>
        <v>5500</v>
      </c>
      <c r="H4" s="4">
        <v>5000</v>
      </c>
      <c r="I4" s="4">
        <v>291271</v>
      </c>
      <c r="J4" s="4">
        <v>145973</v>
      </c>
      <c r="K4" s="5">
        <f>J4/I4</f>
        <v>0.5011587147364482</v>
      </c>
      <c r="L4" s="5">
        <v>0.5</v>
      </c>
      <c r="M4" s="5">
        <v>1</v>
      </c>
      <c r="N4" s="6">
        <v>868.3082234688102</v>
      </c>
      <c r="O4" s="6">
        <v>916.3633333333331</v>
      </c>
      <c r="P4" s="7">
        <f>N4*E4</f>
        <v>86830.82234688102</v>
      </c>
      <c r="Q4" s="7">
        <f>O4*E4</f>
        <v>91636.33333333331</v>
      </c>
      <c r="R4" s="7">
        <f>P4*60</f>
        <v>5209849.340812861</v>
      </c>
      <c r="S4" s="7">
        <f>Q4*60</f>
        <v>5498179.999999999</v>
      </c>
      <c r="T4" s="6">
        <v>2.534358999999995</v>
      </c>
      <c r="U4" s="6">
        <v>2.574479999999994</v>
      </c>
      <c r="V4" s="6">
        <v>3.7387549000000035</v>
      </c>
      <c r="W4" s="6">
        <v>3.803812800000003</v>
      </c>
      <c r="X4" s="6">
        <v>5.243887570000027</v>
      </c>
      <c r="Y4" s="6">
        <v>5.552876830000002</v>
      </c>
      <c r="Z4" s="6">
        <v>-46.751516000000265</v>
      </c>
      <c r="AA4" s="6">
        <v>-46.71157000000039</v>
      </c>
      <c r="AB4" s="6">
        <v>-45.379486000000725</v>
      </c>
      <c r="AC4" s="6">
        <v>-45.29168599999957</v>
      </c>
      <c r="AD4" s="6">
        <v>-43.81120195999938</v>
      </c>
      <c r="AE4" s="6">
        <v>-43.576450229999864</v>
      </c>
      <c r="AF4" s="6">
        <v>0</v>
      </c>
      <c r="AG4" s="6">
        <v>0</v>
      </c>
      <c r="AH4" s="6">
        <v>1</v>
      </c>
      <c r="AI4" s="6">
        <v>1</v>
      </c>
      <c r="AJ4" s="6">
        <v>1</v>
      </c>
      <c r="AK4" s="6">
        <v>1</v>
      </c>
      <c r="AL4" s="6">
        <v>502.6552800054483</v>
      </c>
      <c r="AM4" s="6">
        <v>5453.453753537724</v>
      </c>
      <c r="AN4" s="6">
        <v>5456.15591549688</v>
      </c>
      <c r="AO4" s="9">
        <v>4997.523750375202</v>
      </c>
      <c r="AP4" s="4" t="s">
        <v>79</v>
      </c>
      <c r="AQ4" s="4" t="s">
        <v>80</v>
      </c>
      <c r="AR4" s="4" t="s">
        <v>83</v>
      </c>
      <c r="AS4" s="4" t="s">
        <v>23</v>
      </c>
      <c r="AT4" s="4" t="s">
        <v>23</v>
      </c>
      <c r="AU4" s="4" t="s">
        <v>23</v>
      </c>
    </row>
    <row r="5" ht="30" customHeight="1" spans="1:47" x14ac:dyDescent="0.25">
      <c r="A5" s="4" t="s">
        <v>78</v>
      </c>
      <c r="B5" s="4">
        <v>5</v>
      </c>
      <c r="C5" s="4">
        <v>300</v>
      </c>
      <c r="D5" s="8">
        <f>1000/F5</f>
        <v>20</v>
      </c>
      <c r="E5" s="4">
        <v>100</v>
      </c>
      <c r="F5" s="4">
        <v>50</v>
      </c>
      <c r="G5" s="8">
        <f>500+E5*F5</f>
        <v>5500</v>
      </c>
      <c r="H5" s="4">
        <v>10000</v>
      </c>
      <c r="I5" s="4">
        <v>582513</v>
      </c>
      <c r="J5" s="4">
        <v>291118</v>
      </c>
      <c r="K5" s="5">
        <f>J5/I5</f>
        <v>0.4997622370659539</v>
      </c>
      <c r="L5" s="5">
        <v>0.5</v>
      </c>
      <c r="M5" s="5">
        <v>1</v>
      </c>
      <c r="N5" s="6">
        <v>1736.4420079372726</v>
      </c>
      <c r="O5" s="6">
        <v>1832.6399999999996</v>
      </c>
      <c r="P5" s="7">
        <f>N5*E5</f>
        <v>173644.20079372727</v>
      </c>
      <c r="Q5" s="7">
        <f>O5*E5</f>
        <v>183263.99999999997</v>
      </c>
      <c r="R5" s="7">
        <f>P5*60</f>
        <v>10418652.047623636</v>
      </c>
      <c r="S5" s="7">
        <f>Q5*60</f>
        <v>10995839.999999998</v>
      </c>
      <c r="T5" s="6">
        <v>2.389844499999981</v>
      </c>
      <c r="U5" s="6">
        <v>2.4113550000000146</v>
      </c>
      <c r="V5" s="6">
        <v>3.545991200000003</v>
      </c>
      <c r="W5" s="6">
        <v>3.5943341999999916</v>
      </c>
      <c r="X5" s="6">
        <v>5.269770179999966</v>
      </c>
      <c r="Y5" s="6">
        <v>5.63270454000002</v>
      </c>
      <c r="Z5" s="6">
        <v>-46.70288249999976</v>
      </c>
      <c r="AA5" s="6">
        <v>-46.665883499999836</v>
      </c>
      <c r="AB5" s="6">
        <v>-45.3511696000005</v>
      </c>
      <c r="AC5" s="6">
        <v>-45.30451439999979</v>
      </c>
      <c r="AD5" s="6">
        <v>-43.639540359999955</v>
      </c>
      <c r="AE5" s="6">
        <v>-43.464751360000264</v>
      </c>
      <c r="AF5" s="6">
        <v>0</v>
      </c>
      <c r="AG5" s="6">
        <v>0</v>
      </c>
      <c r="AH5" s="6">
        <v>1</v>
      </c>
      <c r="AI5" s="6">
        <v>1</v>
      </c>
      <c r="AJ5" s="6">
        <v>1</v>
      </c>
      <c r="AK5" s="6">
        <v>1</v>
      </c>
      <c r="AL5" s="6">
        <v>502.50736170807716</v>
      </c>
      <c r="AM5" s="6">
        <v>5453.5025728438895</v>
      </c>
      <c r="AN5" s="6">
        <v>5456.374814802486</v>
      </c>
      <c r="AO5" s="9">
        <v>9994.735988529728</v>
      </c>
      <c r="AP5" s="4" t="s">
        <v>79</v>
      </c>
      <c r="AQ5" s="4" t="s">
        <v>80</v>
      </c>
      <c r="AR5" s="4" t="s">
        <v>84</v>
      </c>
      <c r="AS5" s="4" t="s">
        <v>23</v>
      </c>
      <c r="AT5" s="4" t="s">
        <v>23</v>
      </c>
      <c r="AU5" s="4" t="s">
        <v>23</v>
      </c>
    </row>
    <row r="6" ht="30" customHeight="1" spans="1:47" x14ac:dyDescent="0.25">
      <c r="A6" s="4" t="s">
        <v>78</v>
      </c>
      <c r="B6" s="4">
        <v>5</v>
      </c>
      <c r="C6" s="4">
        <v>300</v>
      </c>
      <c r="D6" s="8">
        <f>1000/F6</f>
        <v>20</v>
      </c>
      <c r="E6" s="4">
        <v>100</v>
      </c>
      <c r="F6" s="4">
        <v>50</v>
      </c>
      <c r="G6" s="8">
        <f>500+E6*F6</f>
        <v>5500</v>
      </c>
      <c r="H6" s="4">
        <v>15000</v>
      </c>
      <c r="I6" s="4">
        <v>873700</v>
      </c>
      <c r="J6" s="4">
        <v>436495</v>
      </c>
      <c r="K6" s="5">
        <f>J6/I6</f>
        <v>0.4995936820418908</v>
      </c>
      <c r="L6" s="5">
        <v>0.5</v>
      </c>
      <c r="M6" s="5">
        <v>1</v>
      </c>
      <c r="N6" s="6">
        <v>2604.4613324338916</v>
      </c>
      <c r="O6" s="6">
        <v>2748.8033333333324</v>
      </c>
      <c r="P6" s="7">
        <f>N6*E6</f>
        <v>260446.13324338917</v>
      </c>
      <c r="Q6" s="7">
        <f>O6*E6</f>
        <v>274880.33333333326</v>
      </c>
      <c r="R6" s="7">
        <f>P6*60</f>
        <v>15626767.99460335</v>
      </c>
      <c r="S6" s="7">
        <f>Q6*60</f>
        <v>16492819.999999996</v>
      </c>
      <c r="T6" s="6">
        <v>2.3698009999999954</v>
      </c>
      <c r="U6" s="6">
        <v>2.402150000000006</v>
      </c>
      <c r="V6" s="6">
        <v>3.588233700000046</v>
      </c>
      <c r="W6" s="6">
        <v>3.643047000000024</v>
      </c>
      <c r="X6" s="6">
        <v>6.085910750000039</v>
      </c>
      <c r="Y6" s="6">
        <v>6.427348600000016</v>
      </c>
      <c r="Z6" s="6">
        <v>-46.61986799999977</v>
      </c>
      <c r="AA6" s="6">
        <v>-46.58494200000041</v>
      </c>
      <c r="AB6" s="6">
        <v>-45.230091399999765</v>
      </c>
      <c r="AC6" s="6">
        <v>-45.173885999999584</v>
      </c>
      <c r="AD6" s="6">
        <v>-42.941072199999326</v>
      </c>
      <c r="AE6" s="6">
        <v>-42.53906618000019</v>
      </c>
      <c r="AF6" s="6">
        <v>0</v>
      </c>
      <c r="AG6" s="6">
        <v>0</v>
      </c>
      <c r="AH6" s="6">
        <v>1</v>
      </c>
      <c r="AI6" s="6">
        <v>1</v>
      </c>
      <c r="AJ6" s="6">
        <v>1</v>
      </c>
      <c r="AK6" s="6">
        <v>1</v>
      </c>
      <c r="AL6" s="6">
        <v>502.61023104489743</v>
      </c>
      <c r="AM6" s="6">
        <v>5453.6763534394895</v>
      </c>
      <c r="AN6" s="6">
        <v>5456.665362803822</v>
      </c>
      <c r="AO6" s="9">
        <v>14991.783416727509</v>
      </c>
      <c r="AP6" s="4" t="s">
        <v>79</v>
      </c>
      <c r="AQ6" s="4" t="s">
        <v>80</v>
      </c>
      <c r="AR6" s="4" t="s">
        <v>85</v>
      </c>
      <c r="AS6" s="4" t="s">
        <v>23</v>
      </c>
      <c r="AT6" s="4" t="s">
        <v>23</v>
      </c>
      <c r="AU6" s="4" t="s">
        <v>23</v>
      </c>
    </row>
    <row r="7" ht="30" customHeight="1" spans="1:47" x14ac:dyDescent="0.25">
      <c r="A7" s="4" t="s">
        <v>78</v>
      </c>
      <c r="B7" s="4">
        <v>5</v>
      </c>
      <c r="C7" s="4">
        <v>300</v>
      </c>
      <c r="D7" s="8">
        <f>1000/F7</f>
        <v>20</v>
      </c>
      <c r="E7" s="4">
        <v>100</v>
      </c>
      <c r="F7" s="4">
        <v>50</v>
      </c>
      <c r="G7" s="8">
        <f>500+E7*F7</f>
        <v>5500</v>
      </c>
      <c r="H7" s="4">
        <v>18000</v>
      </c>
      <c r="I7" s="4">
        <v>1048413</v>
      </c>
      <c r="J7" s="4">
        <v>525024</v>
      </c>
      <c r="K7" s="5">
        <f>J7/I7</f>
        <v>0.500779749964947</v>
      </c>
      <c r="L7" s="5">
        <v>0.5</v>
      </c>
      <c r="M7" s="5">
        <v>1</v>
      </c>
      <c r="N7" s="6">
        <v>3125.2536178686905</v>
      </c>
      <c r="O7" s="6">
        <v>3298.396666666667</v>
      </c>
      <c r="P7" s="7">
        <f>N7*E7</f>
        <v>312525.36178686906</v>
      </c>
      <c r="Q7" s="7">
        <f>O7*E7</f>
        <v>329839.6666666667</v>
      </c>
      <c r="R7" s="7">
        <f>P7*60</f>
        <v>18751521.707212143</v>
      </c>
      <c r="S7" s="7">
        <f>Q7*60</f>
        <v>19790380</v>
      </c>
      <c r="T7" s="6">
        <v>2.366557499999999</v>
      </c>
      <c r="U7" s="6">
        <v>2.393591000000015</v>
      </c>
      <c r="V7" s="6">
        <v>3.531633499999998</v>
      </c>
      <c r="W7" s="6">
        <v>3.5739515999999867</v>
      </c>
      <c r="X7" s="6">
        <v>8.347677750000003</v>
      </c>
      <c r="Y7" s="6">
        <v>9.521117600000025</v>
      </c>
      <c r="Z7" s="6">
        <v>-46.576436499999545</v>
      </c>
      <c r="AA7" s="6">
        <v>-46.54383200000029</v>
      </c>
      <c r="AB7" s="6">
        <v>-45.23341100000016</v>
      </c>
      <c r="AC7" s="6">
        <v>-45.167832799999815</v>
      </c>
      <c r="AD7" s="6">
        <v>-41.160211000000345</v>
      </c>
      <c r="AE7" s="6">
        <v>-40.04808049999974</v>
      </c>
      <c r="AF7" s="6">
        <v>0</v>
      </c>
      <c r="AG7" s="6">
        <v>0</v>
      </c>
      <c r="AH7" s="6">
        <v>1</v>
      </c>
      <c r="AI7" s="6">
        <v>1</v>
      </c>
      <c r="AJ7" s="6">
        <v>1</v>
      </c>
      <c r="AK7" s="6">
        <v>1</v>
      </c>
      <c r="AL7" s="6">
        <v>502.67959875752973</v>
      </c>
      <c r="AM7" s="6">
        <v>5453.795776152398</v>
      </c>
      <c r="AN7" s="6">
        <v>5456.877142076513</v>
      </c>
      <c r="AO7" s="9">
        <v>17989.835838580926</v>
      </c>
      <c r="AP7" s="4" t="s">
        <v>79</v>
      </c>
      <c r="AQ7" s="4" t="s">
        <v>80</v>
      </c>
      <c r="AR7" s="4" t="s">
        <v>86</v>
      </c>
      <c r="AS7" s="4" t="s">
        <v>23</v>
      </c>
      <c r="AT7" s="4" t="s">
        <v>23</v>
      </c>
      <c r="AU7" s="4" t="s">
        <v>23</v>
      </c>
    </row>
    <row r="8" ht="30" customHeight="1" spans="1:47" x14ac:dyDescent="0.25">
      <c r="A8" s="4" t="s">
        <v>87</v>
      </c>
      <c r="B8" s="4">
        <v>5</v>
      </c>
      <c r="C8" s="4">
        <v>300</v>
      </c>
      <c r="D8" s="8">
        <f>1000/F8</f>
        <v>50</v>
      </c>
      <c r="E8" s="4">
        <v>250</v>
      </c>
      <c r="F8" s="4">
        <v>20</v>
      </c>
      <c r="G8" s="8">
        <f>500+E8*F8</f>
        <v>5500</v>
      </c>
      <c r="H8" s="4">
        <v>1000</v>
      </c>
      <c r="I8" s="4">
        <v>57882</v>
      </c>
      <c r="J8" s="4">
        <v>28781</v>
      </c>
      <c r="K8" s="5">
        <f>J8/I8</f>
        <v>0.4972357555025742</v>
      </c>
      <c r="L8" s="5">
        <v>0.5</v>
      </c>
      <c r="M8" s="5">
        <v>1</v>
      </c>
      <c r="N8" s="6">
        <v>172.55178287086937</v>
      </c>
      <c r="O8" s="6">
        <v>182.08999999999995</v>
      </c>
      <c r="P8" s="7">
        <f>N8*E8</f>
        <v>43137.945717717346</v>
      </c>
      <c r="Q8" s="7">
        <f>O8*E8</f>
        <v>45522.499999999985</v>
      </c>
      <c r="R8" s="7">
        <f>P8*60</f>
        <v>2588276.743063041</v>
      </c>
      <c r="S8" s="7">
        <f>Q8*60</f>
        <v>2731349.999999999</v>
      </c>
      <c r="T8" s="6">
        <v>3.250343999999984</v>
      </c>
      <c r="U8" s="6">
        <v>3.3572940000000244</v>
      </c>
      <c r="V8" s="6">
        <v>5.568264499999998</v>
      </c>
      <c r="W8" s="6">
        <v>5.838871999999981</v>
      </c>
      <c r="X8" s="6">
        <v>8.166720999999995</v>
      </c>
      <c r="Y8" s="6">
        <v>9.07486160000002</v>
      </c>
      <c r="Z8" s="6">
        <v>-16.36940400000003</v>
      </c>
      <c r="AA8" s="6">
        <v>-16.1953510000003</v>
      </c>
      <c r="AB8" s="6">
        <v>-14.068673200000376</v>
      </c>
      <c r="AC8" s="6">
        <v>-13.818035000000236</v>
      </c>
      <c r="AD8" s="6">
        <v>-11.514078549999795</v>
      </c>
      <c r="AE8" s="6">
        <v>-10.791715600000316</v>
      </c>
      <c r="AF8" s="6">
        <v>0</v>
      </c>
      <c r="AG8" s="6">
        <v>0</v>
      </c>
      <c r="AH8" s="6">
        <v>1</v>
      </c>
      <c r="AI8" s="6">
        <v>1</v>
      </c>
      <c r="AJ8" s="6">
        <v>1</v>
      </c>
      <c r="AK8" s="6">
        <v>1</v>
      </c>
      <c r="AL8" s="6">
        <v>503.66574056193616</v>
      </c>
      <c r="AM8" s="6">
        <v>5484.055818552762</v>
      </c>
      <c r="AN8" s="6">
        <v>5488.742957671655</v>
      </c>
      <c r="AO8" s="9">
        <v>999.1460451508979</v>
      </c>
      <c r="AP8" s="4" t="s">
        <v>79</v>
      </c>
      <c r="AQ8" s="4" t="s">
        <v>80</v>
      </c>
      <c r="AR8" s="4" t="s">
        <v>88</v>
      </c>
      <c r="AS8" s="4" t="s">
        <v>23</v>
      </c>
      <c r="AT8" s="4" t="s">
        <v>23</v>
      </c>
      <c r="AU8" s="4" t="s">
        <v>23</v>
      </c>
    </row>
    <row r="9" ht="30" customHeight="1" spans="1:47" x14ac:dyDescent="0.25">
      <c r="A9" s="4" t="s">
        <v>87</v>
      </c>
      <c r="B9" s="4">
        <v>5</v>
      </c>
      <c r="C9" s="4">
        <v>300</v>
      </c>
      <c r="D9" s="8">
        <f>1000/F9</f>
        <v>50</v>
      </c>
      <c r="E9" s="4">
        <v>250</v>
      </c>
      <c r="F9" s="4">
        <v>20</v>
      </c>
      <c r="G9" s="8">
        <f>500+E9*F9</f>
        <v>5500</v>
      </c>
      <c r="H9" s="4">
        <v>2000</v>
      </c>
      <c r="I9" s="4">
        <v>115770</v>
      </c>
      <c r="J9" s="4">
        <v>57896</v>
      </c>
      <c r="K9" s="5">
        <f>J9/I9</f>
        <v>0.5000950159799603</v>
      </c>
      <c r="L9" s="5">
        <v>0.5</v>
      </c>
      <c r="M9" s="5">
        <v>1</v>
      </c>
      <c r="N9" s="6">
        <v>345.1059836742325</v>
      </c>
      <c r="O9" s="6">
        <v>364.18666666666655</v>
      </c>
      <c r="P9" s="7">
        <f>N9*E9</f>
        <v>86276.49591855812</v>
      </c>
      <c r="Q9" s="7">
        <f>O9*E9</f>
        <v>91046.66666666664</v>
      </c>
      <c r="R9" s="7">
        <f>P9*60</f>
        <v>5176589.755113487</v>
      </c>
      <c r="S9" s="7">
        <f>Q9*60</f>
        <v>5462799.999999998</v>
      </c>
      <c r="T9" s="6">
        <v>2.6305449999999837</v>
      </c>
      <c r="U9" s="6">
        <v>2.6666740000000004</v>
      </c>
      <c r="V9" s="6">
        <v>3.8248905000000377</v>
      </c>
      <c r="W9" s="6">
        <v>3.915468599999997</v>
      </c>
      <c r="X9" s="6">
        <v>5.308927219999987</v>
      </c>
      <c r="Y9" s="6">
        <v>5.638179799999989</v>
      </c>
      <c r="Z9" s="6">
        <v>-16.695598000000246</v>
      </c>
      <c r="AA9" s="6">
        <v>-16.654406499999823</v>
      </c>
      <c r="AB9" s="6">
        <v>-15.30364019999979</v>
      </c>
      <c r="AC9" s="6">
        <v>-15.210337000000436</v>
      </c>
      <c r="AD9" s="6">
        <v>-13.817453620000379</v>
      </c>
      <c r="AE9" s="6">
        <v>-13.554045150000093</v>
      </c>
      <c r="AF9" s="6">
        <v>0</v>
      </c>
      <c r="AG9" s="6">
        <v>0</v>
      </c>
      <c r="AH9" s="6">
        <v>1</v>
      </c>
      <c r="AI9" s="6">
        <v>1</v>
      </c>
      <c r="AJ9" s="6">
        <v>1</v>
      </c>
      <c r="AK9" s="6">
        <v>1</v>
      </c>
      <c r="AL9" s="6">
        <v>502.74194912948946</v>
      </c>
      <c r="AM9" s="6">
        <v>5483.5050357338505</v>
      </c>
      <c r="AN9" s="6">
        <v>5488.395930927433</v>
      </c>
      <c r="AO9" s="9">
        <v>1998.2177339025834</v>
      </c>
      <c r="AP9" s="4" t="s">
        <v>79</v>
      </c>
      <c r="AQ9" s="4" t="s">
        <v>80</v>
      </c>
      <c r="AR9" s="4" t="s">
        <v>89</v>
      </c>
      <c r="AS9" s="4" t="s">
        <v>23</v>
      </c>
      <c r="AT9" s="4" t="s">
        <v>23</v>
      </c>
      <c r="AU9" s="4" t="s">
        <v>23</v>
      </c>
    </row>
    <row r="10" ht="30" customHeight="1" spans="1:47" x14ac:dyDescent="0.25">
      <c r="A10" s="4" t="s">
        <v>87</v>
      </c>
      <c r="B10" s="4">
        <v>5</v>
      </c>
      <c r="C10" s="4">
        <v>300</v>
      </c>
      <c r="D10" s="8">
        <f>1000/F10</f>
        <v>50</v>
      </c>
      <c r="E10" s="4">
        <v>250</v>
      </c>
      <c r="F10" s="4">
        <v>20</v>
      </c>
      <c r="G10" s="8">
        <f>500+E10*F10</f>
        <v>5500</v>
      </c>
      <c r="H10" s="4">
        <v>5000</v>
      </c>
      <c r="I10" s="4">
        <v>289412</v>
      </c>
      <c r="J10" s="4">
        <v>145037</v>
      </c>
      <c r="K10" s="5">
        <f>J10/I10</f>
        <v>0.5011436982571559</v>
      </c>
      <c r="L10" s="5">
        <v>0.5</v>
      </c>
      <c r="M10" s="5">
        <v>1</v>
      </c>
      <c r="N10" s="6">
        <v>862.6796441623025</v>
      </c>
      <c r="O10" s="6">
        <v>910.4533333333331</v>
      </c>
      <c r="P10" s="7">
        <f>N10*E10</f>
        <v>215669.91104057562</v>
      </c>
      <c r="Q10" s="7">
        <f>O10*E10</f>
        <v>227613.33333333328</v>
      </c>
      <c r="R10" s="7">
        <f>P10*60</f>
        <v>12940194.662434537</v>
      </c>
      <c r="S10" s="7">
        <f>Q10*60</f>
        <v>13656799.999999996</v>
      </c>
      <c r="T10" s="6">
        <v>1.8431825000000117</v>
      </c>
      <c r="U10" s="6">
        <v>1.8736299999999915</v>
      </c>
      <c r="V10" s="6">
        <v>2.716803700000014</v>
      </c>
      <c r="W10" s="6">
        <v>2.7705503999999905</v>
      </c>
      <c r="X10" s="6">
        <v>3.674585620000016</v>
      </c>
      <c r="Y10" s="6">
        <v>3.7992689600000062</v>
      </c>
      <c r="Z10" s="6">
        <v>-16.953927999999905</v>
      </c>
      <c r="AA10" s="6">
        <v>-16.913625999999567</v>
      </c>
      <c r="AB10" s="6">
        <v>-16.037042800000563</v>
      </c>
      <c r="AC10" s="6">
        <v>-15.973632600000201</v>
      </c>
      <c r="AD10" s="6">
        <v>-14.866389639999397</v>
      </c>
      <c r="AE10" s="6">
        <v>-14.612443859999985</v>
      </c>
      <c r="AF10" s="6">
        <v>0</v>
      </c>
      <c r="AG10" s="6">
        <v>0</v>
      </c>
      <c r="AH10" s="6">
        <v>1</v>
      </c>
      <c r="AI10" s="6">
        <v>1</v>
      </c>
      <c r="AJ10" s="6">
        <v>1</v>
      </c>
      <c r="AK10" s="6">
        <v>1</v>
      </c>
      <c r="AL10" s="6">
        <v>501.9824744734533</v>
      </c>
      <c r="AM10" s="6">
        <v>5483.203953275382</v>
      </c>
      <c r="AN10" s="6">
        <v>5488.546248005793</v>
      </c>
      <c r="AO10" s="9">
        <v>4995.1332331317935</v>
      </c>
      <c r="AP10" s="4" t="s">
        <v>79</v>
      </c>
      <c r="AQ10" s="4" t="s">
        <v>80</v>
      </c>
      <c r="AR10" s="4" t="s">
        <v>90</v>
      </c>
      <c r="AS10" s="4" t="s">
        <v>23</v>
      </c>
      <c r="AT10" s="4" t="s">
        <v>23</v>
      </c>
      <c r="AU10" s="4" t="s">
        <v>23</v>
      </c>
    </row>
    <row r="11" ht="30" customHeight="1" spans="1:47" x14ac:dyDescent="0.25">
      <c r="A11" s="4" t="s">
        <v>87</v>
      </c>
      <c r="B11" s="4">
        <v>5</v>
      </c>
      <c r="C11" s="4">
        <v>300</v>
      </c>
      <c r="D11" s="8">
        <f>1000/F11</f>
        <v>50</v>
      </c>
      <c r="E11" s="4">
        <v>250</v>
      </c>
      <c r="F11" s="4">
        <v>20</v>
      </c>
      <c r="G11" s="8">
        <f>500+E11*F11</f>
        <v>5500</v>
      </c>
      <c r="H11" s="4">
        <v>10000</v>
      </c>
      <c r="I11" s="4">
        <v>578726</v>
      </c>
      <c r="J11" s="4">
        <v>289708</v>
      </c>
      <c r="K11" s="5">
        <f>J11/I11</f>
        <v>0.5005961370320324</v>
      </c>
      <c r="L11" s="5">
        <v>0.5</v>
      </c>
      <c r="M11" s="5">
        <v>1</v>
      </c>
      <c r="N11" s="6">
        <v>1725.0115864093098</v>
      </c>
      <c r="O11" s="6">
        <v>1820.603333333333</v>
      </c>
      <c r="P11" s="7">
        <f>N11*E11</f>
        <v>431252.8966023274</v>
      </c>
      <c r="Q11" s="7">
        <f>O11*E11</f>
        <v>455150.83333333326</v>
      </c>
      <c r="R11" s="7">
        <f>P11*60</f>
        <v>25875173.796139646</v>
      </c>
      <c r="S11" s="7">
        <f>Q11*60</f>
        <v>27309049.999999996</v>
      </c>
      <c r="T11" s="6">
        <v>2.0105270000000246</v>
      </c>
      <c r="U11" s="6">
        <v>2.040446999999972</v>
      </c>
      <c r="V11" s="6">
        <v>2.917983300000003</v>
      </c>
      <c r="W11" s="6">
        <v>2.9773777999999993</v>
      </c>
      <c r="X11" s="6">
        <v>4.804937529999961</v>
      </c>
      <c r="Y11" s="6">
        <v>5.668977499999983</v>
      </c>
      <c r="Z11" s="6">
        <v>-16.728413999999248</v>
      </c>
      <c r="AA11" s="6">
        <v>-16.688132999999652</v>
      </c>
      <c r="AB11" s="6">
        <v>-15.703876200000195</v>
      </c>
      <c r="AC11" s="6">
        <v>-15.646370999999817</v>
      </c>
      <c r="AD11" s="6">
        <v>-13.480251369999678</v>
      </c>
      <c r="AE11" s="6">
        <v>-12.580863099999988</v>
      </c>
      <c r="AF11" s="6">
        <v>0</v>
      </c>
      <c r="AG11" s="6">
        <v>0</v>
      </c>
      <c r="AH11" s="6">
        <v>1</v>
      </c>
      <c r="AI11" s="6">
        <v>1</v>
      </c>
      <c r="AJ11" s="6">
        <v>1</v>
      </c>
      <c r="AK11" s="6">
        <v>1</v>
      </c>
      <c r="AL11" s="6">
        <v>502.2299714956021</v>
      </c>
      <c r="AM11" s="6">
        <v>5483.519174243466</v>
      </c>
      <c r="AN11" s="6">
        <v>5489.3012185775</v>
      </c>
      <c r="AO11" s="9">
        <v>9989.466702967797</v>
      </c>
      <c r="AP11" s="4" t="s">
        <v>79</v>
      </c>
      <c r="AQ11" s="4" t="s">
        <v>80</v>
      </c>
      <c r="AR11" s="4" t="s">
        <v>91</v>
      </c>
      <c r="AS11" s="4" t="s">
        <v>23</v>
      </c>
      <c r="AT11" s="4" t="s">
        <v>23</v>
      </c>
      <c r="AU11" s="4" t="s">
        <v>23</v>
      </c>
    </row>
    <row r="12" ht="30" customHeight="1" spans="1:47" x14ac:dyDescent="0.25">
      <c r="A12" s="4" t="s">
        <v>87</v>
      </c>
      <c r="B12" s="4">
        <v>5</v>
      </c>
      <c r="C12" s="4">
        <v>300</v>
      </c>
      <c r="D12" s="8">
        <f>1000/F12</f>
        <v>50</v>
      </c>
      <c r="E12" s="4">
        <v>250</v>
      </c>
      <c r="F12" s="4">
        <v>20</v>
      </c>
      <c r="G12" s="8">
        <f>500+E12*F12</f>
        <v>5500</v>
      </c>
      <c r="H12" s="4">
        <v>15000</v>
      </c>
      <c r="I12" s="4">
        <v>868098</v>
      </c>
      <c r="J12" s="4">
        <v>434581</v>
      </c>
      <c r="K12" s="5">
        <f>J12/I12</f>
        <v>0.500612834034867</v>
      </c>
      <c r="L12" s="5">
        <v>0.5</v>
      </c>
      <c r="M12" s="5">
        <v>1</v>
      </c>
      <c r="N12" s="6">
        <v>2587.4808559217486</v>
      </c>
      <c r="O12" s="6">
        <v>2731.08</v>
      </c>
      <c r="P12" s="7">
        <f>N12*E12</f>
        <v>646870.2139804371</v>
      </c>
      <c r="Q12" s="7">
        <f>O12*E12</f>
        <v>682770</v>
      </c>
      <c r="R12" s="7">
        <f>P12*60</f>
        <v>38812212.83882623</v>
      </c>
      <c r="S12" s="7">
        <f>Q12*60</f>
        <v>40966200</v>
      </c>
      <c r="T12" s="6">
        <v>2.0837920000000167</v>
      </c>
      <c r="U12" s="6">
        <v>2.108975999999984</v>
      </c>
      <c r="V12" s="6">
        <v>3.2534479999999917</v>
      </c>
      <c r="W12" s="6">
        <v>3.3446050000000014</v>
      </c>
      <c r="X12" s="6">
        <v>10.255934499999967</v>
      </c>
      <c r="Y12" s="6">
        <v>12.186944069999981</v>
      </c>
      <c r="Z12" s="6">
        <v>-16.590956500000175</v>
      </c>
      <c r="AA12" s="6">
        <v>-16.554065000000264</v>
      </c>
      <c r="AB12" s="6">
        <v>-15.208332500000324</v>
      </c>
      <c r="AC12" s="6">
        <v>-15.088829999999689</v>
      </c>
      <c r="AD12" s="6">
        <v>-8.410975750000034</v>
      </c>
      <c r="AE12" s="6">
        <v>-6.575785719999658</v>
      </c>
      <c r="AF12" s="6">
        <v>0</v>
      </c>
      <c r="AG12" s="6">
        <v>0</v>
      </c>
      <c r="AH12" s="6">
        <v>1</v>
      </c>
      <c r="AI12" s="6">
        <v>1</v>
      </c>
      <c r="AJ12" s="6">
        <v>1</v>
      </c>
      <c r="AK12" s="6">
        <v>1</v>
      </c>
      <c r="AL12" s="6">
        <v>502.5711545830433</v>
      </c>
      <c r="AM12" s="6">
        <v>5483.916935672322</v>
      </c>
      <c r="AN12" s="6">
        <v>5489.462413953029</v>
      </c>
      <c r="AO12" s="9">
        <v>14984.846936638878</v>
      </c>
      <c r="AP12" s="4" t="s">
        <v>79</v>
      </c>
      <c r="AQ12" s="4" t="s">
        <v>80</v>
      </c>
      <c r="AR12" s="4" t="s">
        <v>92</v>
      </c>
      <c r="AS12" s="4" t="s">
        <v>23</v>
      </c>
      <c r="AT12" s="4" t="s">
        <v>23</v>
      </c>
      <c r="AU12" s="4" t="s">
        <v>23</v>
      </c>
    </row>
    <row r="13" ht="30" customHeight="1" spans="1:47" x14ac:dyDescent="0.25">
      <c r="A13" s="4" t="s">
        <v>87</v>
      </c>
      <c r="B13" s="4">
        <v>5</v>
      </c>
      <c r="C13" s="4">
        <v>300</v>
      </c>
      <c r="D13" s="8">
        <f>1000/F13</f>
        <v>50</v>
      </c>
      <c r="E13" s="4">
        <v>250</v>
      </c>
      <c r="F13" s="4">
        <v>20</v>
      </c>
      <c r="G13" s="8">
        <f>500+E13*F13</f>
        <v>5500</v>
      </c>
      <c r="H13" s="4">
        <v>18000</v>
      </c>
      <c r="I13" s="4">
        <v>1041770</v>
      </c>
      <c r="J13" s="4">
        <v>521262</v>
      </c>
      <c r="K13" s="5">
        <f>J13/I13</f>
        <v>0.5003618841010972</v>
      </c>
      <c r="L13" s="5">
        <v>0.5</v>
      </c>
      <c r="M13" s="5">
        <v>1</v>
      </c>
      <c r="N13" s="6">
        <v>3105.114269799626</v>
      </c>
      <c r="O13" s="6">
        <v>3277.3599999999997</v>
      </c>
      <c r="P13" s="7">
        <f>N13*E13</f>
        <v>776278.5674499065</v>
      </c>
      <c r="Q13" s="7">
        <f>O13*E13</f>
        <v>819339.9999999999</v>
      </c>
      <c r="R13" s="7">
        <f>P13*60</f>
        <v>46576714.04699439</v>
      </c>
      <c r="S13" s="7">
        <f>Q13*60</f>
        <v>49160399.99999999</v>
      </c>
      <c r="T13" s="6">
        <v>2.1227969999999914</v>
      </c>
      <c r="U13" s="6">
        <v>2.1536970000000224</v>
      </c>
      <c r="V13" s="6">
        <v>3.9302518999999734</v>
      </c>
      <c r="W13" s="6">
        <v>4.19673419999998</v>
      </c>
      <c r="X13" s="6">
        <v>15.728751299999999</v>
      </c>
      <c r="Y13" s="6">
        <v>19.313639599999874</v>
      </c>
      <c r="Z13" s="6">
        <v>-16.494644500000504</v>
      </c>
      <c r="AA13" s="6">
        <v>-16.459794999999758</v>
      </c>
      <c r="AB13" s="6">
        <v>-14.19540649999999</v>
      </c>
      <c r="AC13" s="6">
        <v>-13.84926379999979</v>
      </c>
      <c r="AD13" s="6">
        <v>-2.4046078999999736</v>
      </c>
      <c r="AE13" s="6">
        <v>-0.6317062199996144</v>
      </c>
      <c r="AF13" s="6">
        <v>0</v>
      </c>
      <c r="AG13" s="6">
        <v>0</v>
      </c>
      <c r="AH13" s="6">
        <v>1</v>
      </c>
      <c r="AI13" s="6">
        <v>1</v>
      </c>
      <c r="AJ13" s="6">
        <v>1</v>
      </c>
      <c r="AK13" s="6">
        <v>1</v>
      </c>
      <c r="AL13" s="6">
        <v>502.98325986592647</v>
      </c>
      <c r="AM13" s="6">
        <v>5484.416074659672</v>
      </c>
      <c r="AN13" s="6">
        <v>5489.35554161165</v>
      </c>
      <c r="AO13" s="9">
        <v>17983.803127864714</v>
      </c>
      <c r="AP13" s="4" t="s">
        <v>79</v>
      </c>
      <c r="AQ13" s="4" t="s">
        <v>80</v>
      </c>
      <c r="AR13" s="4" t="s">
        <v>93</v>
      </c>
      <c r="AS13" s="4" t="s">
        <v>23</v>
      </c>
      <c r="AT13" s="4" t="s">
        <v>23</v>
      </c>
      <c r="AU13" s="4" t="s">
        <v>23</v>
      </c>
    </row>
    <row r="14" ht="30" customHeight="1" spans="1:47" x14ac:dyDescent="0.25">
      <c r="A14" s="4" t="s">
        <v>94</v>
      </c>
      <c r="B14" s="4">
        <v>5</v>
      </c>
      <c r="C14" s="4">
        <v>300</v>
      </c>
      <c r="D14" s="8">
        <f>1000/F14</f>
        <v>100</v>
      </c>
      <c r="E14" s="4">
        <v>500</v>
      </c>
      <c r="F14" s="4">
        <v>10</v>
      </c>
      <c r="G14" s="8">
        <f>500+E14*F14</f>
        <v>5500</v>
      </c>
      <c r="H14" s="4">
        <v>1000</v>
      </c>
      <c r="I14" s="4">
        <v>57722</v>
      </c>
      <c r="J14" s="4">
        <v>28611</v>
      </c>
      <c r="K14" s="5">
        <f>J14/I14</f>
        <v>0.4956688957416583</v>
      </c>
      <c r="L14" s="5">
        <v>0.5</v>
      </c>
      <c r="M14" s="5">
        <v>1</v>
      </c>
      <c r="N14" s="6">
        <v>172.08432259796845</v>
      </c>
      <c r="O14" s="6">
        <v>181.55666666666664</v>
      </c>
      <c r="P14" s="7">
        <f>N14*E14</f>
        <v>86042.16129898423</v>
      </c>
      <c r="Q14" s="7">
        <f>O14*E14</f>
        <v>90778.33333333333</v>
      </c>
      <c r="R14" s="7">
        <f>P14*60</f>
        <v>5162529.677939054</v>
      </c>
      <c r="S14" s="7">
        <f>Q14*60</f>
        <v>5446700</v>
      </c>
      <c r="T14" s="6">
        <v>2.6778699999999844</v>
      </c>
      <c r="U14" s="6">
        <v>2.7363849999999843</v>
      </c>
      <c r="V14" s="6">
        <v>3.8865445999999793</v>
      </c>
      <c r="W14" s="6">
        <v>3.9839708000000087</v>
      </c>
      <c r="X14" s="6">
        <v>5.252212540000016</v>
      </c>
      <c r="Y14" s="6">
        <v>5.606079399999999</v>
      </c>
      <c r="Z14" s="6">
        <v>-6.652610500000264</v>
      </c>
      <c r="AA14" s="6">
        <v>-6.54530799999975</v>
      </c>
      <c r="AB14" s="6">
        <v>-5.233907400000135</v>
      </c>
      <c r="AC14" s="6">
        <v>-5.102292800000214</v>
      </c>
      <c r="AD14" s="6">
        <v>-3.759659880000072</v>
      </c>
      <c r="AE14" s="6">
        <v>-3.3970397399998546</v>
      </c>
      <c r="AF14" s="6">
        <v>0</v>
      </c>
      <c r="AG14" s="6">
        <v>0</v>
      </c>
      <c r="AH14" s="6">
        <v>0</v>
      </c>
      <c r="AI14" s="6">
        <v>0</v>
      </c>
      <c r="AJ14" s="6">
        <v>1</v>
      </c>
      <c r="AK14" s="6">
        <v>1</v>
      </c>
      <c r="AL14" s="6">
        <v>502.7790544863311</v>
      </c>
      <c r="AM14" s="6">
        <v>5493.564899528485</v>
      </c>
      <c r="AN14" s="6">
        <v>5502.219352509768</v>
      </c>
      <c r="AO14" s="9">
        <v>998.4270959509859</v>
      </c>
      <c r="AP14" s="4" t="s">
        <v>79</v>
      </c>
      <c r="AQ14" s="4" t="s">
        <v>80</v>
      </c>
      <c r="AR14" s="4" t="s">
        <v>95</v>
      </c>
      <c r="AS14" s="4" t="s">
        <v>23</v>
      </c>
      <c r="AT14" s="4" t="s">
        <v>23</v>
      </c>
      <c r="AU14" s="4" t="s">
        <v>23</v>
      </c>
    </row>
    <row r="15" ht="30" customHeight="1" spans="1:47" x14ac:dyDescent="0.25">
      <c r="A15" s="4" t="s">
        <v>94</v>
      </c>
      <c r="B15" s="4">
        <v>5</v>
      </c>
      <c r="C15" s="4">
        <v>300</v>
      </c>
      <c r="D15" s="8">
        <f>1000/F15</f>
        <v>100</v>
      </c>
      <c r="E15" s="4">
        <v>500</v>
      </c>
      <c r="F15" s="4">
        <v>10</v>
      </c>
      <c r="G15" s="8">
        <f>500+E15*F15</f>
        <v>5500</v>
      </c>
      <c r="H15" s="4">
        <v>2000</v>
      </c>
      <c r="I15" s="4">
        <v>115449</v>
      </c>
      <c r="J15" s="4">
        <v>57709</v>
      </c>
      <c r="K15" s="5">
        <f>J15/I15</f>
        <v>0.49986574158286345</v>
      </c>
      <c r="L15" s="5">
        <v>0.5</v>
      </c>
      <c r="M15" s="5">
        <v>1</v>
      </c>
      <c r="N15" s="6">
        <v>344.1403293037127</v>
      </c>
      <c r="O15" s="6">
        <v>363.15333333333325</v>
      </c>
      <c r="P15" s="7">
        <f>N15*E15</f>
        <v>172070.16465185635</v>
      </c>
      <c r="Q15" s="7">
        <f>O15*E15</f>
        <v>181576.66666666663</v>
      </c>
      <c r="R15" s="7">
        <f>P15*60</f>
        <v>10324209.879111381</v>
      </c>
      <c r="S15" s="7">
        <f>Q15*60</f>
        <v>10894599.999999998</v>
      </c>
      <c r="T15" s="6">
        <v>2.000904999999989</v>
      </c>
      <c r="U15" s="6">
        <v>2.0442615000000046</v>
      </c>
      <c r="V15" s="6">
        <v>3.0001455000000306</v>
      </c>
      <c r="W15" s="6">
        <v>3.062158000000011</v>
      </c>
      <c r="X15" s="6">
        <v>3.8700565599999663</v>
      </c>
      <c r="Y15" s="6">
        <v>4.106253900000013</v>
      </c>
      <c r="Z15" s="6">
        <v>-6.887681000000157</v>
      </c>
      <c r="AA15" s="6">
        <v>-6.8399609999996756</v>
      </c>
      <c r="AB15" s="6">
        <v>-5.835899499999869</v>
      </c>
      <c r="AC15" s="6">
        <v>-5.796064500000284</v>
      </c>
      <c r="AD15" s="6">
        <v>-4.738525639999352</v>
      </c>
      <c r="AE15" s="6">
        <v>-4.458901850000075</v>
      </c>
      <c r="AF15" s="6">
        <v>0</v>
      </c>
      <c r="AG15" s="6">
        <v>0</v>
      </c>
      <c r="AH15" s="6">
        <v>1</v>
      </c>
      <c r="AI15" s="6">
        <v>1</v>
      </c>
      <c r="AJ15" s="6">
        <v>1</v>
      </c>
      <c r="AK15" s="6">
        <v>1</v>
      </c>
      <c r="AL15" s="6">
        <v>502.129397837063</v>
      </c>
      <c r="AM15" s="6">
        <v>5493.27640995418</v>
      </c>
      <c r="AN15" s="6">
        <v>5502.517447605103</v>
      </c>
      <c r="AO15" s="9">
        <v>1996.64116110667</v>
      </c>
      <c r="AP15" s="4" t="s">
        <v>79</v>
      </c>
      <c r="AQ15" s="4" t="s">
        <v>80</v>
      </c>
      <c r="AR15" s="4" t="s">
        <v>96</v>
      </c>
      <c r="AS15" s="4" t="s">
        <v>23</v>
      </c>
      <c r="AT15" s="4" t="s">
        <v>23</v>
      </c>
      <c r="AU15" s="4" t="s">
        <v>23</v>
      </c>
    </row>
    <row r="16" ht="30" customHeight="1" spans="1:47" x14ac:dyDescent="0.25">
      <c r="A16" s="4" t="s">
        <v>94</v>
      </c>
      <c r="B16" s="4">
        <v>5</v>
      </c>
      <c r="C16" s="4">
        <v>300</v>
      </c>
      <c r="D16" s="8">
        <f>1000/F16</f>
        <v>100</v>
      </c>
      <c r="E16" s="4">
        <v>500</v>
      </c>
      <c r="F16" s="4">
        <v>10</v>
      </c>
      <c r="G16" s="8">
        <f>500+E16*F16</f>
        <v>5500</v>
      </c>
      <c r="H16" s="4">
        <v>5000</v>
      </c>
      <c r="I16" s="4">
        <v>288577</v>
      </c>
      <c r="J16" s="4">
        <v>144237</v>
      </c>
      <c r="K16" s="5">
        <f>J16/I16</f>
        <v>0.4998215380990169</v>
      </c>
      <c r="L16" s="5">
        <v>0.5</v>
      </c>
      <c r="M16" s="5">
        <v>1</v>
      </c>
      <c r="N16" s="6">
        <v>860.1649982479141</v>
      </c>
      <c r="O16" s="6">
        <v>907.7633333333332</v>
      </c>
      <c r="P16" s="7">
        <f>N16*E16</f>
        <v>430082.49912395707</v>
      </c>
      <c r="Q16" s="7">
        <f>O16*E16</f>
        <v>453881.6666666666</v>
      </c>
      <c r="R16" s="7">
        <f>P16*60</f>
        <v>25804949.947437424</v>
      </c>
      <c r="S16" s="7">
        <f>Q16*60</f>
        <v>27232899.999999996</v>
      </c>
      <c r="T16" s="6">
        <v>1.9488850000000184</v>
      </c>
      <c r="U16" s="6">
        <v>1.9890770000000089</v>
      </c>
      <c r="V16" s="6">
        <v>2.6650297999999566</v>
      </c>
      <c r="W16" s="6">
        <v>2.702425000000005</v>
      </c>
      <c r="X16" s="6">
        <v>4.153922920000014</v>
      </c>
      <c r="Y16" s="6">
        <v>4.616360859999986</v>
      </c>
      <c r="Z16" s="6">
        <v>-6.677147000000332</v>
      </c>
      <c r="AA16" s="6">
        <v>-6.602085000000443</v>
      </c>
      <c r="AB16" s="6">
        <v>-5.731890400000339</v>
      </c>
      <c r="AC16" s="6">
        <v>-5.645781999999599</v>
      </c>
      <c r="AD16" s="6">
        <v>-4.041617150000093</v>
      </c>
      <c r="AE16" s="6">
        <v>-3.487930079999387</v>
      </c>
      <c r="AF16" s="6">
        <v>0</v>
      </c>
      <c r="AG16" s="6">
        <v>0</v>
      </c>
      <c r="AH16" s="6">
        <v>1</v>
      </c>
      <c r="AI16" s="6">
        <v>1</v>
      </c>
      <c r="AJ16" s="6">
        <v>1</v>
      </c>
      <c r="AK16" s="6">
        <v>1</v>
      </c>
      <c r="AL16" s="6">
        <v>502.07523089032753</v>
      </c>
      <c r="AM16" s="6">
        <v>5493.504317650455</v>
      </c>
      <c r="AN16" s="6">
        <v>5503.5940258027895</v>
      </c>
      <c r="AO16" s="9">
        <v>4990.833525662858</v>
      </c>
      <c r="AP16" s="4" t="s">
        <v>79</v>
      </c>
      <c r="AQ16" s="4" t="s">
        <v>80</v>
      </c>
      <c r="AR16" s="4" t="s">
        <v>97</v>
      </c>
      <c r="AS16" s="4" t="s">
        <v>23</v>
      </c>
      <c r="AT16" s="4" t="s">
        <v>23</v>
      </c>
      <c r="AU16" s="4" t="s">
        <v>23</v>
      </c>
    </row>
    <row r="17" ht="30" customHeight="1" spans="1:47" x14ac:dyDescent="0.25">
      <c r="A17" s="4" t="s">
        <v>94</v>
      </c>
      <c r="B17" s="4">
        <v>5</v>
      </c>
      <c r="C17" s="4">
        <v>300</v>
      </c>
      <c r="D17" s="8">
        <f>1000/F17</f>
        <v>100</v>
      </c>
      <c r="E17" s="4">
        <v>500</v>
      </c>
      <c r="F17" s="4">
        <v>10</v>
      </c>
      <c r="G17" s="8">
        <f>500+E17*F17</f>
        <v>5500</v>
      </c>
      <c r="H17" s="4">
        <v>10000</v>
      </c>
      <c r="I17" s="4">
        <v>577271</v>
      </c>
      <c r="J17" s="4">
        <v>287653</v>
      </c>
      <c r="K17" s="5">
        <f>J17/I17</f>
        <v>0.4982980264035436</v>
      </c>
      <c r="L17" s="5">
        <v>0.5</v>
      </c>
      <c r="M17" s="5">
        <v>1</v>
      </c>
      <c r="N17" s="6">
        <v>1720.599517402602</v>
      </c>
      <c r="O17" s="6">
        <v>1815.99</v>
      </c>
      <c r="P17" s="7">
        <f>N17*E17</f>
        <v>860299.7587013011</v>
      </c>
      <c r="Q17" s="7">
        <f>O17*E17</f>
        <v>907995</v>
      </c>
      <c r="R17" s="7">
        <f>P17*60</f>
        <v>51617985.52207807</v>
      </c>
      <c r="S17" s="7">
        <f>Q17*60</f>
        <v>54479700</v>
      </c>
      <c r="T17" s="6">
        <v>2.0234590000000026</v>
      </c>
      <c r="U17" s="6">
        <v>2.058033499999965</v>
      </c>
      <c r="V17" s="6">
        <v>3.269957199999965</v>
      </c>
      <c r="W17" s="6">
        <v>3.5265608999999927</v>
      </c>
      <c r="X17" s="6">
        <v>13.055427580000014</v>
      </c>
      <c r="Y17" s="6">
        <v>15.840154170000005</v>
      </c>
      <c r="Z17" s="6">
        <v>-6.5783229999997275</v>
      </c>
      <c r="AA17" s="6">
        <v>-6.514981500000431</v>
      </c>
      <c r="AB17" s="6">
        <v>-4.830712300000414</v>
      </c>
      <c r="AC17" s="6">
        <v>-4.434577399999398</v>
      </c>
      <c r="AD17" s="6">
        <v>3.885811080000167</v>
      </c>
      <c r="AE17" s="6">
        <v>6.975530249999792</v>
      </c>
      <c r="AF17" s="6">
        <v>0</v>
      </c>
      <c r="AG17" s="6">
        <v>0</v>
      </c>
      <c r="AH17" s="6">
        <v>1</v>
      </c>
      <c r="AI17" s="6">
        <v>1</v>
      </c>
      <c r="AJ17" s="6">
        <v>1</v>
      </c>
      <c r="AK17" s="6">
        <v>1</v>
      </c>
      <c r="AL17" s="6">
        <v>502.61226043284967</v>
      </c>
      <c r="AM17" s="6">
        <v>5494.060492344357</v>
      </c>
      <c r="AN17" s="6">
        <v>5502.531547202226</v>
      </c>
      <c r="AO17" s="9">
        <v>9984.605151824146</v>
      </c>
      <c r="AP17" s="4" t="s">
        <v>79</v>
      </c>
      <c r="AQ17" s="4" t="s">
        <v>80</v>
      </c>
      <c r="AR17" s="4" t="s">
        <v>98</v>
      </c>
      <c r="AS17" s="4" t="s">
        <v>23</v>
      </c>
      <c r="AT17" s="4" t="s">
        <v>23</v>
      </c>
      <c r="AU17" s="4" t="s">
        <v>23</v>
      </c>
    </row>
    <row r="18" ht="30" customHeight="1" spans="1:47" x14ac:dyDescent="0.25">
      <c r="A18" s="4" t="s">
        <v>94</v>
      </c>
      <c r="B18" s="4">
        <v>5</v>
      </c>
      <c r="C18" s="4">
        <v>300</v>
      </c>
      <c r="D18" s="8">
        <f>1000/F18</f>
        <v>100</v>
      </c>
      <c r="E18" s="4">
        <v>500</v>
      </c>
      <c r="F18" s="4">
        <v>10</v>
      </c>
      <c r="G18" s="8">
        <f>500+E18*F18</f>
        <v>5500</v>
      </c>
      <c r="H18" s="4">
        <v>15000</v>
      </c>
      <c r="I18" s="4">
        <v>860970</v>
      </c>
      <c r="J18" s="4">
        <v>430676</v>
      </c>
      <c r="K18" s="5">
        <f>J18/I18</f>
        <v>0.5002218428052081</v>
      </c>
      <c r="L18" s="5">
        <v>0.5</v>
      </c>
      <c r="M18" s="5">
        <v>1</v>
      </c>
      <c r="N18" s="6">
        <v>2566.0875354242407</v>
      </c>
      <c r="O18" s="6">
        <v>2707.896666666667</v>
      </c>
      <c r="P18" s="7">
        <f>N18*E18</f>
        <v>1283043.7677121204</v>
      </c>
      <c r="Q18" s="7">
        <f>O18*E18</f>
        <v>1353948.3333333335</v>
      </c>
      <c r="R18" s="7">
        <f>P18*60</f>
        <v>76982626.06272723</v>
      </c>
      <c r="S18" s="7">
        <f>Q18*60</f>
        <v>81236900.00000001</v>
      </c>
      <c r="T18" s="6">
        <v>18.329565499999944</v>
      </c>
      <c r="U18" s="6">
        <v>18.51459449999993</v>
      </c>
      <c r="V18" s="6">
        <v>35.757948300000066</v>
      </c>
      <c r="W18" s="6">
        <v>36.40872019999995</v>
      </c>
      <c r="X18" s="6">
        <v>69.26289537000002</v>
      </c>
      <c r="Y18" s="6">
        <v>89.59882419999985</v>
      </c>
      <c r="Z18" s="6">
        <v>17.530808499999694</v>
      </c>
      <c r="AA18" s="6">
        <v>17.97221400000035</v>
      </c>
      <c r="AB18" s="6">
        <v>56.43914459999996</v>
      </c>
      <c r="AC18" s="6">
        <v>60.175144400000136</v>
      </c>
      <c r="AD18" s="6">
        <v>192.7498090099998</v>
      </c>
      <c r="AE18" s="6">
        <v>208.92958102000011</v>
      </c>
      <c r="AF18" s="6">
        <v>0</v>
      </c>
      <c r="AG18" s="6">
        <v>0</v>
      </c>
      <c r="AH18" s="6">
        <v>1</v>
      </c>
      <c r="AI18" s="6">
        <v>1</v>
      </c>
      <c r="AJ18" s="6">
        <v>1</v>
      </c>
      <c r="AK18" s="6">
        <v>1</v>
      </c>
      <c r="AL18" s="6">
        <v>521.2930234105766</v>
      </c>
      <c r="AM18" s="6">
        <v>5527.9913062138185</v>
      </c>
      <c r="AN18" s="6">
        <v>5536.7554356065</v>
      </c>
      <c r="AO18" s="9">
        <v>14976.256542917372</v>
      </c>
      <c r="AP18" s="4" t="s">
        <v>79</v>
      </c>
      <c r="AQ18" s="4" t="s">
        <v>80</v>
      </c>
      <c r="AR18" s="4" t="s">
        <v>99</v>
      </c>
      <c r="AS18" s="4" t="s">
        <v>23</v>
      </c>
      <c r="AT18" s="4" t="s">
        <v>23</v>
      </c>
      <c r="AU18" s="4" t="s">
        <v>23</v>
      </c>
    </row>
    <row r="19" ht="30" customHeight="1" spans="1:47" x14ac:dyDescent="0.25">
      <c r="A19" s="4" t="s">
        <v>94</v>
      </c>
      <c r="B19" s="4">
        <v>5</v>
      </c>
      <c r="C19" s="4">
        <v>300</v>
      </c>
      <c r="D19" s="8">
        <f>1000/F19</f>
        <v>100</v>
      </c>
      <c r="E19" s="4">
        <v>500</v>
      </c>
      <c r="F19" s="4">
        <v>10</v>
      </c>
      <c r="G19" s="8">
        <f>500+E19*F19</f>
        <v>5500</v>
      </c>
      <c r="H19" s="4">
        <v>18000</v>
      </c>
      <c r="I19" s="4">
        <v>1024468</v>
      </c>
      <c r="J19" s="4">
        <v>511660</v>
      </c>
      <c r="K19" s="5">
        <f>J19/I19</f>
        <v>0.4994397091954068</v>
      </c>
      <c r="L19" s="5">
        <v>0.5</v>
      </c>
      <c r="M19" s="5">
        <v>1</v>
      </c>
      <c r="N19" s="6">
        <v>3053.312282922732</v>
      </c>
      <c r="O19" s="6">
        <v>3220.95</v>
      </c>
      <c r="P19" s="7">
        <f>N19*E19</f>
        <v>1526656.1414613659</v>
      </c>
      <c r="Q19" s="7">
        <f>O19*E19</f>
        <v>1610475</v>
      </c>
      <c r="R19" s="7">
        <f>P19*60</f>
        <v>91599368.48768196</v>
      </c>
      <c r="S19" s="7">
        <f>Q19*60</f>
        <v>96628500</v>
      </c>
      <c r="T19" s="6">
        <v>22.075743999999986</v>
      </c>
      <c r="U19" s="6">
        <v>22.411281500000086</v>
      </c>
      <c r="V19" s="6">
        <v>42.31591860000003</v>
      </c>
      <c r="W19" s="6">
        <v>44.32664820000002</v>
      </c>
      <c r="X19" s="6">
        <v>107.34332923999989</v>
      </c>
      <c r="Y19" s="6">
        <v>182.92166719999932</v>
      </c>
      <c r="Z19" s="6">
        <v>26.91281700000036</v>
      </c>
      <c r="AA19" s="6">
        <v>27.986281000000417</v>
      </c>
      <c r="AB19" s="6">
        <v>181.41110339999977</v>
      </c>
      <c r="AC19" s="6">
        <v>190.67195900000024</v>
      </c>
      <c r="AD19" s="6">
        <v>630.93861913</v>
      </c>
      <c r="AE19" s="6">
        <v>659.5046607999993</v>
      </c>
      <c r="AF19" s="6">
        <v>0</v>
      </c>
      <c r="AG19" s="6">
        <v>0</v>
      </c>
      <c r="AH19" s="6">
        <v>1</v>
      </c>
      <c r="AI19" s="6">
        <v>1</v>
      </c>
      <c r="AJ19" s="6">
        <v>1</v>
      </c>
      <c r="AK19" s="6">
        <v>1</v>
      </c>
      <c r="AL19" s="6">
        <v>526.7389613524051</v>
      </c>
      <c r="AM19" s="6">
        <v>5571.302977685686</v>
      </c>
      <c r="AN19" s="6">
        <v>5580.9770488224285</v>
      </c>
      <c r="AO19" s="9">
        <v>17968.798621500966</v>
      </c>
      <c r="AP19" s="4" t="s">
        <v>79</v>
      </c>
      <c r="AQ19" s="4" t="s">
        <v>80</v>
      </c>
      <c r="AR19" s="4" t="s">
        <v>100</v>
      </c>
      <c r="AS19" s="4" t="s">
        <v>23</v>
      </c>
      <c r="AT19" s="4" t="s">
        <v>23</v>
      </c>
      <c r="AU19" s="4" t="s">
        <v>23</v>
      </c>
    </row>
    <row r="20" ht="30" customHeight="1" spans="1:47" x14ac:dyDescent="0.25">
      <c r="A20" s="4" t="s">
        <v>101</v>
      </c>
      <c r="B20" s="4">
        <v>60</v>
      </c>
      <c r="C20" s="4">
        <v>640</v>
      </c>
      <c r="D20" s="8">
        <f>1000/F20</f>
        <v>20</v>
      </c>
      <c r="E20" s="4">
        <v>1200</v>
      </c>
      <c r="F20" s="4">
        <v>50</v>
      </c>
      <c r="G20" s="8">
        <f>500+E20*F20</f>
        <v>60500</v>
      </c>
      <c r="H20" s="4">
        <v>1000</v>
      </c>
      <c r="I20" s="4">
        <v>11162</v>
      </c>
      <c r="J20" s="4">
        <v>5559</v>
      </c>
      <c r="K20" s="5">
        <f>J20/I20</f>
        <v>0.49802902705608315</v>
      </c>
      <c r="L20" s="5">
        <v>0.5</v>
      </c>
      <c r="M20" s="5">
        <v>1</v>
      </c>
      <c r="N20" s="6">
        <v>15.28806417302304</v>
      </c>
      <c r="O20" s="6">
        <v>15.881250000000001</v>
      </c>
      <c r="P20" s="7">
        <f>N20*E20</f>
        <v>18345.677007627648</v>
      </c>
      <c r="Q20" s="7">
        <f>O20*E20</f>
        <v>19057.5</v>
      </c>
      <c r="R20" s="7">
        <f>P20*60</f>
        <v>1100740.6204576588</v>
      </c>
      <c r="S20" s="7">
        <f>Q20*60</f>
        <v>1143450</v>
      </c>
      <c r="T20" s="6">
        <v>4.870715000000018</v>
      </c>
      <c r="U20" s="6">
        <v>5.408296000000007</v>
      </c>
      <c r="V20" s="6">
        <v>10.18061240000003</v>
      </c>
      <c r="W20" s="6">
        <v>11.301695400000028</v>
      </c>
      <c r="X20" s="6">
        <v>15.231035789999964</v>
      </c>
      <c r="Y20" s="6">
        <v>20.933759740000028</v>
      </c>
      <c r="Z20" s="6">
        <v>-45.31012300000293</v>
      </c>
      <c r="AA20" s="6">
        <v>-44.950034000001324</v>
      </c>
      <c r="AB20" s="6">
        <v>-40.513152600004105</v>
      </c>
      <c r="AC20" s="6">
        <v>-39.7103999999963</v>
      </c>
      <c r="AD20" s="6">
        <v>-35.27823284000624</v>
      </c>
      <c r="AE20" s="6">
        <v>-32.48158893999789</v>
      </c>
      <c r="AF20" s="6">
        <v>0</v>
      </c>
      <c r="AG20" s="6">
        <v>0</v>
      </c>
      <c r="AH20" s="6">
        <v>1</v>
      </c>
      <c r="AI20" s="6">
        <v>1</v>
      </c>
      <c r="AJ20" s="6">
        <v>1</v>
      </c>
      <c r="AK20" s="6">
        <v>1</v>
      </c>
      <c r="AL20" s="6">
        <v>505.9886951880488</v>
      </c>
      <c r="AM20" s="6">
        <v>60455.76695190082</v>
      </c>
      <c r="AN20" s="6">
        <v>60474.181596289825</v>
      </c>
      <c r="AO20" s="9">
        <v>999.6954932891683</v>
      </c>
      <c r="AP20" s="4" t="s">
        <v>79</v>
      </c>
      <c r="AQ20" s="4" t="s">
        <v>80</v>
      </c>
      <c r="AR20" s="4" t="s">
        <v>102</v>
      </c>
      <c r="AS20" s="4" t="s">
        <v>23</v>
      </c>
      <c r="AT20" s="4" t="s">
        <v>23</v>
      </c>
      <c r="AU20" s="4" t="s">
        <v>23</v>
      </c>
    </row>
    <row r="21" ht="30" customHeight="1" spans="1:47" x14ac:dyDescent="0.25">
      <c r="A21" s="4" t="s">
        <v>101</v>
      </c>
      <c r="B21" s="4">
        <v>60</v>
      </c>
      <c r="C21" s="4">
        <v>640</v>
      </c>
      <c r="D21" s="8">
        <f>1000/F21</f>
        <v>20</v>
      </c>
      <c r="E21" s="4">
        <v>1200</v>
      </c>
      <c r="F21" s="4">
        <v>50</v>
      </c>
      <c r="G21" s="8">
        <f>500+E21*F21</f>
        <v>60500</v>
      </c>
      <c r="H21" s="4">
        <v>2000</v>
      </c>
      <c r="I21" s="4">
        <v>22325</v>
      </c>
      <c r="J21" s="4">
        <v>11180</v>
      </c>
      <c r="K21" s="5">
        <f>J21/I21</f>
        <v>0.5007838745800672</v>
      </c>
      <c r="L21" s="5">
        <v>0.5</v>
      </c>
      <c r="M21" s="5">
        <v>1</v>
      </c>
      <c r="N21" s="6">
        <v>30.56886394692754</v>
      </c>
      <c r="O21" s="6">
        <v>31.759375</v>
      </c>
      <c r="P21" s="7">
        <f>N21*E21</f>
        <v>36682.63673631305</v>
      </c>
      <c r="Q21" s="7">
        <f>O21*E21</f>
        <v>38111.25</v>
      </c>
      <c r="R21" s="7">
        <f>P21*60</f>
        <v>2200958.204178783</v>
      </c>
      <c r="S21" s="7">
        <f>Q21*60</f>
        <v>2286675</v>
      </c>
      <c r="T21" s="6">
        <v>3.560056999999972</v>
      </c>
      <c r="U21" s="6">
        <v>3.7481260000000134</v>
      </c>
      <c r="V21" s="6">
        <v>6.24785780000002</v>
      </c>
      <c r="W21" s="6">
        <v>6.6397759999999835</v>
      </c>
      <c r="X21" s="6">
        <v>10.661699559999988</v>
      </c>
      <c r="Y21" s="6">
        <v>15.098646959999883</v>
      </c>
      <c r="Z21" s="6">
        <v>-45.991901000001235</v>
      </c>
      <c r="AA21" s="6">
        <v>-45.799229500000365</v>
      </c>
      <c r="AB21" s="6">
        <v>-43.2702128000019</v>
      </c>
      <c r="AC21" s="6">
        <v>-42.86869979999756</v>
      </c>
      <c r="AD21" s="6">
        <v>-40.44050880000577</v>
      </c>
      <c r="AE21" s="6">
        <v>-37.41070150000451</v>
      </c>
      <c r="AF21" s="6">
        <v>0</v>
      </c>
      <c r="AG21" s="6">
        <v>0</v>
      </c>
      <c r="AH21" s="6">
        <v>1</v>
      </c>
      <c r="AI21" s="6">
        <v>1</v>
      </c>
      <c r="AJ21" s="6">
        <v>1</v>
      </c>
      <c r="AK21" s="6">
        <v>1</v>
      </c>
      <c r="AL21" s="6">
        <v>504.1555747544456</v>
      </c>
      <c r="AM21" s="6">
        <v>60454.58781382957</v>
      </c>
      <c r="AN21" s="6">
        <v>60473.44722238067</v>
      </c>
      <c r="AO21" s="9">
        <v>1999.3762752884566</v>
      </c>
      <c r="AP21" s="4" t="s">
        <v>79</v>
      </c>
      <c r="AQ21" s="4" t="s">
        <v>80</v>
      </c>
      <c r="AR21" s="4" t="s">
        <v>103</v>
      </c>
      <c r="AS21" s="4" t="s">
        <v>23</v>
      </c>
      <c r="AT21" s="4" t="s">
        <v>23</v>
      </c>
      <c r="AU21" s="4" t="s">
        <v>23</v>
      </c>
    </row>
    <row r="22" ht="30" customHeight="1" spans="1:47" x14ac:dyDescent="0.25">
      <c r="A22" s="4" t="s">
        <v>101</v>
      </c>
      <c r="B22" s="4">
        <v>60</v>
      </c>
      <c r="C22" s="4">
        <v>640</v>
      </c>
      <c r="D22" s="8">
        <f>1000/F22</f>
        <v>20</v>
      </c>
      <c r="E22" s="4">
        <v>1200</v>
      </c>
      <c r="F22" s="4">
        <v>50</v>
      </c>
      <c r="G22" s="8">
        <f>500+E22*F22</f>
        <v>60500</v>
      </c>
      <c r="H22" s="4">
        <v>5000</v>
      </c>
      <c r="I22" s="4">
        <v>55805</v>
      </c>
      <c r="J22" s="4">
        <v>27863</v>
      </c>
      <c r="K22" s="5">
        <f>J22/I22</f>
        <v>0.4992921781202401</v>
      </c>
      <c r="L22" s="5">
        <v>0.5</v>
      </c>
      <c r="M22" s="5">
        <v>1</v>
      </c>
      <c r="N22" s="6">
        <v>76.40235668291376</v>
      </c>
      <c r="O22" s="6">
        <v>79.3828125</v>
      </c>
      <c r="P22" s="7">
        <f>N22*E22</f>
        <v>91682.82801949652</v>
      </c>
      <c r="Q22" s="7">
        <f>O22*E22</f>
        <v>95259.375</v>
      </c>
      <c r="R22" s="7">
        <f>P22*60</f>
        <v>5500969.681169791</v>
      </c>
      <c r="S22" s="7">
        <f>Q22*60</f>
        <v>5715562.5</v>
      </c>
      <c r="T22" s="6">
        <v>2.6591700000000174</v>
      </c>
      <c r="U22" s="6">
        <v>2.7282444999999598</v>
      </c>
      <c r="V22" s="6">
        <v>3.8636452000000077</v>
      </c>
      <c r="W22" s="6">
        <v>3.992969599999981</v>
      </c>
      <c r="X22" s="6">
        <v>6.724841529999992</v>
      </c>
      <c r="Y22" s="6">
        <v>8.47755436</v>
      </c>
      <c r="Z22" s="6">
        <v>-46.42571599999792</v>
      </c>
      <c r="AA22" s="6">
        <v>-46.286709499996505</v>
      </c>
      <c r="AB22" s="6">
        <v>-45.01482989999931</v>
      </c>
      <c r="AC22" s="6">
        <v>-44.81568230000266</v>
      </c>
      <c r="AD22" s="6">
        <v>-42.78016174000368</v>
      </c>
      <c r="AE22" s="6">
        <v>-41.26153470000281</v>
      </c>
      <c r="AF22" s="6">
        <v>0</v>
      </c>
      <c r="AG22" s="6">
        <v>0</v>
      </c>
      <c r="AH22" s="6">
        <v>1</v>
      </c>
      <c r="AI22" s="6">
        <v>1</v>
      </c>
      <c r="AJ22" s="6">
        <v>1</v>
      </c>
      <c r="AK22" s="6">
        <v>1</v>
      </c>
      <c r="AL22" s="6">
        <v>502.888981879957</v>
      </c>
      <c r="AM22" s="6">
        <v>60453.87619370257</v>
      </c>
      <c r="AN22" s="6">
        <v>60473.283130177275</v>
      </c>
      <c r="AO22" s="9">
        <v>4998.395412374201</v>
      </c>
      <c r="AP22" s="4" t="s">
        <v>79</v>
      </c>
      <c r="AQ22" s="4" t="s">
        <v>80</v>
      </c>
      <c r="AR22" s="4" t="s">
        <v>104</v>
      </c>
      <c r="AS22" s="4" t="s">
        <v>23</v>
      </c>
      <c r="AT22" s="4" t="s">
        <v>23</v>
      </c>
      <c r="AU22" s="4" t="s">
        <v>23</v>
      </c>
    </row>
    <row r="23" ht="30" customHeight="1" spans="1:47" x14ac:dyDescent="0.25">
      <c r="A23" s="4" t="s">
        <v>101</v>
      </c>
      <c r="B23" s="4">
        <v>60</v>
      </c>
      <c r="C23" s="4">
        <v>640</v>
      </c>
      <c r="D23" s="8">
        <f>1000/F23</f>
        <v>20</v>
      </c>
      <c r="E23" s="4">
        <v>1200</v>
      </c>
      <c r="F23" s="4">
        <v>50</v>
      </c>
      <c r="G23" s="8">
        <f>500+E23*F23</f>
        <v>60500</v>
      </c>
      <c r="H23" s="4">
        <v>10000</v>
      </c>
      <c r="I23" s="4">
        <v>111600</v>
      </c>
      <c r="J23" s="4">
        <v>55977</v>
      </c>
      <c r="K23" s="5">
        <f>J23/I23</f>
        <v>0.5015860215053763</v>
      </c>
      <c r="L23" s="5">
        <v>0.5</v>
      </c>
      <c r="M23" s="5">
        <v>1</v>
      </c>
      <c r="N23" s="6">
        <v>152.78192291268832</v>
      </c>
      <c r="O23" s="6">
        <v>158.76250000000002</v>
      </c>
      <c r="P23" s="7">
        <f>N23*E23</f>
        <v>183338.30749522598</v>
      </c>
      <c r="Q23" s="7">
        <f>O23*E23</f>
        <v>190515.00000000003</v>
      </c>
      <c r="R23" s="7">
        <f>P23*60</f>
        <v>11000298.449713558</v>
      </c>
      <c r="S23" s="7">
        <f>Q23*60</f>
        <v>11430900.000000002</v>
      </c>
      <c r="T23" s="6">
        <v>2.4697760000000244</v>
      </c>
      <c r="U23" s="6">
        <v>2.5221149999999852</v>
      </c>
      <c r="V23" s="6">
        <v>3.6679020000000264</v>
      </c>
      <c r="W23" s="6">
        <v>3.7960568999999964</v>
      </c>
      <c r="X23" s="6">
        <v>6.358337809999966</v>
      </c>
      <c r="Y23" s="6">
        <v>9.427546540000037</v>
      </c>
      <c r="Z23" s="6">
        <v>-46.37295599999925</v>
      </c>
      <c r="AA23" s="6">
        <v>-46.298272500003804</v>
      </c>
      <c r="AB23" s="6">
        <v>-44.93313240000134</v>
      </c>
      <c r="AC23" s="6">
        <v>-44.80570860000444</v>
      </c>
      <c r="AD23" s="6">
        <v>-42.50446513999486</v>
      </c>
      <c r="AE23" s="6">
        <v>-40.68332174999523</v>
      </c>
      <c r="AF23" s="6">
        <v>0</v>
      </c>
      <c r="AG23" s="6">
        <v>0</v>
      </c>
      <c r="AH23" s="6">
        <v>1</v>
      </c>
      <c r="AI23" s="6">
        <v>1</v>
      </c>
      <c r="AJ23" s="6">
        <v>1</v>
      </c>
      <c r="AK23" s="6">
        <v>1</v>
      </c>
      <c r="AL23" s="6">
        <v>502.8650987946318</v>
      </c>
      <c r="AM23" s="6">
        <v>60454.06630562903</v>
      </c>
      <c r="AN23" s="6">
        <v>60474.33890737517</v>
      </c>
      <c r="AO23" s="9">
        <v>9996.647736121526</v>
      </c>
      <c r="AP23" s="4" t="s">
        <v>79</v>
      </c>
      <c r="AQ23" s="4" t="s">
        <v>80</v>
      </c>
      <c r="AR23" s="4" t="s">
        <v>105</v>
      </c>
      <c r="AS23" s="4" t="s">
        <v>23</v>
      </c>
      <c r="AT23" s="4" t="s">
        <v>23</v>
      </c>
      <c r="AU23" s="4" t="s">
        <v>23</v>
      </c>
    </row>
    <row r="24" ht="30" customHeight="1" spans="1:47" x14ac:dyDescent="0.25">
      <c r="A24" s="4" t="s">
        <v>101</v>
      </c>
      <c r="B24" s="4">
        <v>60</v>
      </c>
      <c r="C24" s="4">
        <v>640</v>
      </c>
      <c r="D24" s="8">
        <f>1000/F24</f>
        <v>20</v>
      </c>
      <c r="E24" s="4">
        <v>1200</v>
      </c>
      <c r="F24" s="4">
        <v>50</v>
      </c>
      <c r="G24" s="8">
        <f>500+E24*F24</f>
        <v>60500</v>
      </c>
      <c r="H24" s="4">
        <v>15000</v>
      </c>
      <c r="I24" s="4">
        <v>167393</v>
      </c>
      <c r="J24" s="4">
        <v>83937</v>
      </c>
      <c r="K24" s="5">
        <f>J24/I24</f>
        <v>0.5014367386927768</v>
      </c>
      <c r="L24" s="5">
        <v>0.5</v>
      </c>
      <c r="M24" s="5">
        <v>1</v>
      </c>
      <c r="N24" s="6">
        <v>229.16412111027398</v>
      </c>
      <c r="O24" s="6">
        <v>238.12968750000002</v>
      </c>
      <c r="P24" s="7">
        <f>N24*E24</f>
        <v>274996.9453323288</v>
      </c>
      <c r="Q24" s="7">
        <f>O24*E24</f>
        <v>285755.625</v>
      </c>
      <c r="R24" s="7">
        <f>P24*60</f>
        <v>16499816.719939727</v>
      </c>
      <c r="S24" s="7">
        <f>Q24*60</f>
        <v>17145337.5</v>
      </c>
      <c r="T24" s="6">
        <v>2.4701939999999922</v>
      </c>
      <c r="U24" s="6">
        <v>2.499151999999981</v>
      </c>
      <c r="V24" s="6">
        <v>3.7464894999999956</v>
      </c>
      <c r="W24" s="6">
        <v>3.8305308000000196</v>
      </c>
      <c r="X24" s="6">
        <v>8.655828350000036</v>
      </c>
      <c r="Y24" s="6">
        <v>11.791136760000029</v>
      </c>
      <c r="Z24" s="6">
        <v>-46.28064599999925</v>
      </c>
      <c r="AA24" s="6">
        <v>-46.225507000002835</v>
      </c>
      <c r="AB24" s="6">
        <v>-44.801819400003296</v>
      </c>
      <c r="AC24" s="6">
        <v>-44.69546750000154</v>
      </c>
      <c r="AD24" s="6">
        <v>-40.9160780500024</v>
      </c>
      <c r="AE24" s="6">
        <v>-38.687948350001534</v>
      </c>
      <c r="AF24" s="6">
        <v>0</v>
      </c>
      <c r="AG24" s="6">
        <v>0</v>
      </c>
      <c r="AH24" s="6">
        <v>1</v>
      </c>
      <c r="AI24" s="6">
        <v>1</v>
      </c>
      <c r="AJ24" s="6">
        <v>1</v>
      </c>
      <c r="AK24" s="6">
        <v>1</v>
      </c>
      <c r="AL24" s="6">
        <v>503.2588631915076</v>
      </c>
      <c r="AM24" s="6">
        <v>60454.525727451866</v>
      </c>
      <c r="AN24" s="6">
        <v>60475.426931672824</v>
      </c>
      <c r="AO24" s="9">
        <v>14994.815777242768</v>
      </c>
      <c r="AP24" s="4" t="s">
        <v>79</v>
      </c>
      <c r="AQ24" s="4" t="s">
        <v>80</v>
      </c>
      <c r="AR24" s="4" t="s">
        <v>106</v>
      </c>
      <c r="AS24" s="4" t="s">
        <v>23</v>
      </c>
      <c r="AT24" s="4" t="s">
        <v>23</v>
      </c>
      <c r="AU24" s="4" t="s">
        <v>23</v>
      </c>
    </row>
    <row r="25" ht="30" customHeight="1" spans="1:47" x14ac:dyDescent="0.25">
      <c r="A25" s="4" t="s">
        <v>101</v>
      </c>
      <c r="B25" s="4">
        <v>60</v>
      </c>
      <c r="C25" s="4">
        <v>640</v>
      </c>
      <c r="D25" s="8">
        <f>1000/F25</f>
        <v>20</v>
      </c>
      <c r="E25" s="4">
        <v>1200</v>
      </c>
      <c r="F25" s="4">
        <v>50</v>
      </c>
      <c r="G25" s="8">
        <f>500+E25*F25</f>
        <v>60500</v>
      </c>
      <c r="H25" s="4">
        <v>18000</v>
      </c>
      <c r="I25" s="4">
        <v>200871</v>
      </c>
      <c r="J25" s="4">
        <v>100660</v>
      </c>
      <c r="K25" s="5">
        <f>J25/I25</f>
        <v>0.5011176327095499</v>
      </c>
      <c r="L25" s="5">
        <v>0.5</v>
      </c>
      <c r="M25" s="5">
        <v>1</v>
      </c>
      <c r="N25" s="6">
        <v>274.9932845160351</v>
      </c>
      <c r="O25" s="6">
        <v>285.75625</v>
      </c>
      <c r="P25" s="7">
        <f>N25*E25</f>
        <v>329991.9414192421</v>
      </c>
      <c r="Q25" s="7">
        <f>O25*E25</f>
        <v>342907.5</v>
      </c>
      <c r="R25" s="7">
        <f>P25*60</f>
        <v>19799516.48515453</v>
      </c>
      <c r="S25" s="7">
        <f>Q25*60</f>
        <v>20574450</v>
      </c>
      <c r="T25" s="6">
        <v>2.4673760000000016</v>
      </c>
      <c r="U25" s="6">
        <v>2.4979549999999904</v>
      </c>
      <c r="V25" s="6">
        <v>3.713548199999991</v>
      </c>
      <c r="W25" s="6">
        <v>3.8065238000000363</v>
      </c>
      <c r="X25" s="6">
        <v>13.31496100000004</v>
      </c>
      <c r="Y25" s="6">
        <v>15.898952099999974</v>
      </c>
      <c r="Z25" s="6">
        <v>-46.23899949999759</v>
      </c>
      <c r="AA25" s="6">
        <v>-46.1949769999992</v>
      </c>
      <c r="AB25" s="6">
        <v>-44.76875740000105</v>
      </c>
      <c r="AC25" s="6">
        <v>-44.66564700000163</v>
      </c>
      <c r="AD25" s="6">
        <v>-36.908301739997114</v>
      </c>
      <c r="AE25" s="6">
        <v>-34.70334467999783</v>
      </c>
      <c r="AF25" s="6">
        <v>0</v>
      </c>
      <c r="AG25" s="6">
        <v>0</v>
      </c>
      <c r="AH25" s="6">
        <v>1</v>
      </c>
      <c r="AI25" s="6">
        <v>1</v>
      </c>
      <c r="AJ25" s="6">
        <v>1</v>
      </c>
      <c r="AK25" s="6">
        <v>1</v>
      </c>
      <c r="AL25" s="6">
        <v>503.48666485284093</v>
      </c>
      <c r="AM25" s="6">
        <v>60454.77141600496</v>
      </c>
      <c r="AN25" s="6">
        <v>60475.797244604175</v>
      </c>
      <c r="AO25" s="9">
        <v>17993.7418793236</v>
      </c>
      <c r="AP25" s="4" t="s">
        <v>79</v>
      </c>
      <c r="AQ25" s="4" t="s">
        <v>80</v>
      </c>
      <c r="AR25" s="4" t="s">
        <v>107</v>
      </c>
      <c r="AS25" s="4" t="s">
        <v>23</v>
      </c>
      <c r="AT25" s="4" t="s">
        <v>23</v>
      </c>
      <c r="AU25" s="4" t="s">
        <v>23</v>
      </c>
    </row>
    <row r="26" ht="30" customHeight="1" spans="1:47" x14ac:dyDescent="0.25">
      <c r="A26" s="4" t="s">
        <v>108</v>
      </c>
      <c r="B26" s="4">
        <v>60</v>
      </c>
      <c r="C26" s="4">
        <v>640</v>
      </c>
      <c r="D26" s="8">
        <f>1000/F26</f>
        <v>50</v>
      </c>
      <c r="E26" s="4">
        <v>3000</v>
      </c>
      <c r="F26" s="4">
        <v>20</v>
      </c>
      <c r="G26" s="8">
        <f>500+E26*F26</f>
        <v>60500</v>
      </c>
      <c r="H26" s="4">
        <v>1000</v>
      </c>
      <c r="I26" s="4">
        <v>11145</v>
      </c>
      <c r="J26" s="4">
        <v>5621</v>
      </c>
      <c r="K26" s="5">
        <f>J26/I26</f>
        <v>0.5043517272319425</v>
      </c>
      <c r="L26" s="5">
        <v>0.5</v>
      </c>
      <c r="M26" s="5">
        <v>1</v>
      </c>
      <c r="N26" s="6">
        <v>15.262396808254069</v>
      </c>
      <c r="O26" s="6">
        <v>15.854687499999997</v>
      </c>
      <c r="P26" s="7">
        <f>N26*E26</f>
        <v>45787.19042476221</v>
      </c>
      <c r="Q26" s="7">
        <f>O26*E26</f>
        <v>47564.06249999999</v>
      </c>
      <c r="R26" s="7">
        <f>P26*60</f>
        <v>2747231.4254857325</v>
      </c>
      <c r="S26" s="7">
        <f>Q26*60</f>
        <v>2853843.7499999995</v>
      </c>
      <c r="T26" s="6">
        <v>3.3028580000000147</v>
      </c>
      <c r="U26" s="6">
        <v>3.5206909999999993</v>
      </c>
      <c r="V26" s="6">
        <v>5.595166500000005</v>
      </c>
      <c r="W26" s="6">
        <v>5.9467070000000035</v>
      </c>
      <c r="X26" s="6">
        <v>8.868240500000013</v>
      </c>
      <c r="Y26" s="6">
        <v>12.183416800000032</v>
      </c>
      <c r="Z26" s="6">
        <v>-15.744508000003407</v>
      </c>
      <c r="AA26" s="6">
        <v>-15.466657999997551</v>
      </c>
      <c r="AB26" s="6">
        <v>-13.408505699997477</v>
      </c>
      <c r="AC26" s="6">
        <v>-13.021637699996063</v>
      </c>
      <c r="AD26" s="6">
        <v>-10.756187800005137</v>
      </c>
      <c r="AE26" s="6">
        <v>-6.671234899993578</v>
      </c>
      <c r="AF26" s="6">
        <v>0</v>
      </c>
      <c r="AG26" s="6">
        <v>0</v>
      </c>
      <c r="AH26" s="6">
        <v>1</v>
      </c>
      <c r="AI26" s="6">
        <v>1</v>
      </c>
      <c r="AJ26" s="6">
        <v>1</v>
      </c>
      <c r="AK26" s="6">
        <v>1</v>
      </c>
      <c r="AL26" s="6">
        <v>503.8627467646477</v>
      </c>
      <c r="AM26" s="6">
        <v>60484.78587922843</v>
      </c>
      <c r="AN26" s="6">
        <v>60525.38711720681</v>
      </c>
      <c r="AO26" s="9">
        <v>999.329183278703</v>
      </c>
      <c r="AP26" s="4" t="s">
        <v>109</v>
      </c>
      <c r="AQ26" s="4" t="s">
        <v>110</v>
      </c>
      <c r="AR26" s="4" t="s">
        <v>111</v>
      </c>
      <c r="AS26" s="4" t="s">
        <v>23</v>
      </c>
      <c r="AT26" s="4" t="s">
        <v>23</v>
      </c>
      <c r="AU26" s="4" t="s">
        <v>23</v>
      </c>
    </row>
    <row r="27" ht="30" customHeight="1" spans="1:47" x14ac:dyDescent="0.25">
      <c r="A27" s="4" t="s">
        <v>108</v>
      </c>
      <c r="B27" s="4">
        <v>60</v>
      </c>
      <c r="C27" s="4">
        <v>640</v>
      </c>
      <c r="D27" s="8">
        <f>1000/F27</f>
        <v>50</v>
      </c>
      <c r="E27" s="4">
        <v>3000</v>
      </c>
      <c r="F27" s="4">
        <v>20</v>
      </c>
      <c r="G27" s="8">
        <f>500+E27*F27</f>
        <v>60500</v>
      </c>
      <c r="H27" s="4">
        <v>2000</v>
      </c>
      <c r="I27" s="4">
        <v>22284</v>
      </c>
      <c r="J27" s="4">
        <v>11197</v>
      </c>
      <c r="K27" s="5">
        <f>J27/I27</f>
        <v>0.5024681385747621</v>
      </c>
      <c r="L27" s="5">
        <v>0.5</v>
      </c>
      <c r="M27" s="5">
        <v>1</v>
      </c>
      <c r="N27" s="6">
        <v>30.51466759513979</v>
      </c>
      <c r="O27" s="6">
        <v>31.704687500000002</v>
      </c>
      <c r="P27" s="7">
        <f>N27*E27</f>
        <v>91544.00278541938</v>
      </c>
      <c r="Q27" s="7">
        <f>O27*E27</f>
        <v>95114.0625</v>
      </c>
      <c r="R27" s="7">
        <f>P27*60</f>
        <v>5492640.167125163</v>
      </c>
      <c r="S27" s="7">
        <f>Q27*60</f>
        <v>5706843.75</v>
      </c>
      <c r="T27" s="6">
        <v>2.676979500000016</v>
      </c>
      <c r="U27" s="6">
        <v>2.8047430000000304</v>
      </c>
      <c r="V27" s="6">
        <v>3.873765400000025</v>
      </c>
      <c r="W27" s="6">
        <v>4.203294700000015</v>
      </c>
      <c r="X27" s="6">
        <v>5.961498259999985</v>
      </c>
      <c r="Y27" s="6">
        <v>8.949618939999993</v>
      </c>
      <c r="Z27" s="6">
        <v>-16.0238989999998</v>
      </c>
      <c r="AA27" s="6">
        <v>-15.895691500001703</v>
      </c>
      <c r="AB27" s="6">
        <v>-14.492963199998485</v>
      </c>
      <c r="AC27" s="6">
        <v>-14.110195200002636</v>
      </c>
      <c r="AD27" s="6">
        <v>-12.243132849995163</v>
      </c>
      <c r="AE27" s="6">
        <v>-10.048690039999201</v>
      </c>
      <c r="AF27" s="6">
        <v>0</v>
      </c>
      <c r="AG27" s="6">
        <v>0</v>
      </c>
      <c r="AH27" s="6">
        <v>1</v>
      </c>
      <c r="AI27" s="6">
        <v>1</v>
      </c>
      <c r="AJ27" s="6">
        <v>1</v>
      </c>
      <c r="AK27" s="6">
        <v>1</v>
      </c>
      <c r="AL27" s="6">
        <v>502.90690790531346</v>
      </c>
      <c r="AM27" s="6">
        <v>60484.21728120613</v>
      </c>
      <c r="AN27" s="6">
        <v>60525.63291184685</v>
      </c>
      <c r="AO27" s="9">
        <v>1998.6314673335885</v>
      </c>
      <c r="AP27" s="4" t="s">
        <v>109</v>
      </c>
      <c r="AQ27" s="4" t="s">
        <v>110</v>
      </c>
      <c r="AR27" s="4" t="s">
        <v>112</v>
      </c>
      <c r="AS27" s="4" t="s">
        <v>23</v>
      </c>
      <c r="AT27" s="4" t="s">
        <v>23</v>
      </c>
      <c r="AU27" s="4" t="s">
        <v>23</v>
      </c>
    </row>
    <row r="28" ht="30" customHeight="1" spans="1:47" x14ac:dyDescent="0.25">
      <c r="A28" s="4" t="s">
        <v>108</v>
      </c>
      <c r="B28" s="4">
        <v>60</v>
      </c>
      <c r="C28" s="4">
        <v>640</v>
      </c>
      <c r="D28" s="8">
        <f>1000/F28</f>
        <v>50</v>
      </c>
      <c r="E28" s="4">
        <v>3000</v>
      </c>
      <c r="F28" s="4">
        <v>20</v>
      </c>
      <c r="G28" s="8">
        <f>500+E28*F28</f>
        <v>60500</v>
      </c>
      <c r="H28" s="4">
        <v>5000</v>
      </c>
      <c r="I28" s="4">
        <v>55708</v>
      </c>
      <c r="J28" s="4">
        <v>27807</v>
      </c>
      <c r="K28" s="5">
        <f>J28/I28</f>
        <v>0.499156315071444</v>
      </c>
      <c r="L28" s="5">
        <v>0.5</v>
      </c>
      <c r="M28" s="5">
        <v>1</v>
      </c>
      <c r="N28" s="6">
        <v>76.26475556652515</v>
      </c>
      <c r="O28" s="6">
        <v>79.24531249999998</v>
      </c>
      <c r="P28" s="7">
        <f>N28*E28</f>
        <v>228794.26669957547</v>
      </c>
      <c r="Q28" s="7">
        <f>O28*E28</f>
        <v>237735.93749999994</v>
      </c>
      <c r="R28" s="7">
        <f>P28*60</f>
        <v>13727656.001974529</v>
      </c>
      <c r="S28" s="7">
        <f>Q28*60</f>
        <v>14264156.249999996</v>
      </c>
      <c r="T28" s="6">
        <v>1.9320304999999962</v>
      </c>
      <c r="U28" s="6">
        <v>1.9855079999999816</v>
      </c>
      <c r="V28" s="6">
        <v>2.8126040000000216</v>
      </c>
      <c r="W28" s="6">
        <v>2.9119739999999865</v>
      </c>
      <c r="X28" s="6">
        <v>4.324008520000007</v>
      </c>
      <c r="Y28" s="6">
        <v>5.760711520000029</v>
      </c>
      <c r="Z28" s="6">
        <v>-16.24934100000246</v>
      </c>
      <c r="AA28" s="6">
        <v>-16.14349349999975</v>
      </c>
      <c r="AB28" s="6">
        <v>-15.039482000000135</v>
      </c>
      <c r="AC28" s="6">
        <v>-14.866139999998268</v>
      </c>
      <c r="AD28" s="6">
        <v>-13.565082640001492</v>
      </c>
      <c r="AE28" s="6">
        <v>-12.872258759998658</v>
      </c>
      <c r="AF28" s="6">
        <v>0</v>
      </c>
      <c r="AG28" s="6">
        <v>0</v>
      </c>
      <c r="AH28" s="6">
        <v>1</v>
      </c>
      <c r="AI28" s="6">
        <v>1</v>
      </c>
      <c r="AJ28" s="6">
        <v>1</v>
      </c>
      <c r="AK28" s="6">
        <v>1</v>
      </c>
      <c r="AL28" s="6">
        <v>502.2090760702413</v>
      </c>
      <c r="AM28" s="6">
        <v>60483.99349523072</v>
      </c>
      <c r="AN28" s="6">
        <v>60526.160821511134</v>
      </c>
      <c r="AO28" s="9">
        <v>4996.516597948986</v>
      </c>
      <c r="AP28" s="4" t="s">
        <v>109</v>
      </c>
      <c r="AQ28" s="4" t="s">
        <v>110</v>
      </c>
      <c r="AR28" s="4" t="s">
        <v>113</v>
      </c>
      <c r="AS28" s="4" t="s">
        <v>23</v>
      </c>
      <c r="AT28" s="4" t="s">
        <v>23</v>
      </c>
      <c r="AU28" s="4" t="s">
        <v>23</v>
      </c>
    </row>
    <row r="29" ht="30" customHeight="1" spans="1:47" x14ac:dyDescent="0.25">
      <c r="A29" s="4" t="s">
        <v>108</v>
      </c>
      <c r="B29" s="4">
        <v>60</v>
      </c>
      <c r="C29" s="4">
        <v>640</v>
      </c>
      <c r="D29" s="8">
        <f>1000/F29</f>
        <v>50</v>
      </c>
      <c r="E29" s="4">
        <v>3000</v>
      </c>
      <c r="F29" s="4">
        <v>20</v>
      </c>
      <c r="G29" s="8">
        <f>500+E29*F29</f>
        <v>60500</v>
      </c>
      <c r="H29" s="4">
        <v>10000</v>
      </c>
      <c r="I29" s="4">
        <v>111415</v>
      </c>
      <c r="J29" s="4">
        <v>55982</v>
      </c>
      <c r="K29" s="5">
        <f>J29/I29</f>
        <v>0.5024637616119912</v>
      </c>
      <c r="L29" s="5">
        <v>0.5</v>
      </c>
      <c r="M29" s="5">
        <v>1</v>
      </c>
      <c r="N29" s="6">
        <v>152.5162725987924</v>
      </c>
      <c r="O29" s="6">
        <v>158.475</v>
      </c>
      <c r="P29" s="7">
        <f>N29*E29</f>
        <v>457548.8177963772</v>
      </c>
      <c r="Q29" s="7">
        <f>O29*E29</f>
        <v>475425</v>
      </c>
      <c r="R29" s="7">
        <f>P29*60</f>
        <v>27452929.06778263</v>
      </c>
      <c r="S29" s="7">
        <f>Q29*60</f>
        <v>28525500</v>
      </c>
      <c r="T29" s="6">
        <v>2.1114800000000287</v>
      </c>
      <c r="U29" s="6">
        <v>2.1562020000000075</v>
      </c>
      <c r="V29" s="6">
        <v>3.09927620000002</v>
      </c>
      <c r="W29" s="6">
        <v>3.22472479999999</v>
      </c>
      <c r="X29" s="6">
        <v>10.431812129999969</v>
      </c>
      <c r="Y29" s="6">
        <v>17.092971399999783</v>
      </c>
      <c r="Z29" s="6">
        <v>-16.025616500002798</v>
      </c>
      <c r="AA29" s="6">
        <v>-15.977342500002123</v>
      </c>
      <c r="AB29" s="6">
        <v>-14.717419699998572</v>
      </c>
      <c r="AC29" s="6">
        <v>-14.619993300002534</v>
      </c>
      <c r="AD29" s="6">
        <v>-10.559491539999726</v>
      </c>
      <c r="AE29" s="6">
        <v>-5.870186400003149</v>
      </c>
      <c r="AF29" s="6">
        <v>0</v>
      </c>
      <c r="AG29" s="6">
        <v>0</v>
      </c>
      <c r="AH29" s="6">
        <v>1</v>
      </c>
      <c r="AI29" s="6">
        <v>1</v>
      </c>
      <c r="AJ29" s="6">
        <v>1</v>
      </c>
      <c r="AK29" s="6">
        <v>1</v>
      </c>
      <c r="AL29" s="6">
        <v>502.73297945745185</v>
      </c>
      <c r="AM29" s="6">
        <v>60484.47429791072</v>
      </c>
      <c r="AN29" s="6">
        <v>60527.24295993997</v>
      </c>
      <c r="AO29" s="9">
        <v>9992.933981241185</v>
      </c>
      <c r="AP29" s="4" t="s">
        <v>109</v>
      </c>
      <c r="AQ29" s="4" t="s">
        <v>110</v>
      </c>
      <c r="AR29" s="4" t="s">
        <v>114</v>
      </c>
      <c r="AS29" s="4" t="s">
        <v>23</v>
      </c>
      <c r="AT29" s="4" t="s">
        <v>23</v>
      </c>
      <c r="AU29" s="4" t="s">
        <v>23</v>
      </c>
    </row>
    <row r="30" ht="30" customHeight="1" spans="1:47" x14ac:dyDescent="0.25">
      <c r="A30" s="4" t="s">
        <v>108</v>
      </c>
      <c r="B30" s="4">
        <v>60</v>
      </c>
      <c r="C30" s="4">
        <v>640</v>
      </c>
      <c r="D30" s="8">
        <f>1000/F30</f>
        <v>50</v>
      </c>
      <c r="E30" s="4">
        <v>3000</v>
      </c>
      <c r="F30" s="4">
        <v>20</v>
      </c>
      <c r="G30" s="8">
        <f>500+E30*F30</f>
        <v>60500</v>
      </c>
      <c r="H30" s="4">
        <v>15000</v>
      </c>
      <c r="I30" s="4">
        <v>167126</v>
      </c>
      <c r="J30" s="4">
        <v>83526</v>
      </c>
      <c r="K30" s="5">
        <f>J30/I30</f>
        <v>0.4997786101504254</v>
      </c>
      <c r="L30" s="5">
        <v>0.5</v>
      </c>
      <c r="M30" s="5">
        <v>1</v>
      </c>
      <c r="N30" s="6">
        <v>228.77685034136078</v>
      </c>
      <c r="O30" s="6">
        <v>237.72812500000003</v>
      </c>
      <c r="P30" s="7">
        <f>N30*E30</f>
        <v>686330.5510240823</v>
      </c>
      <c r="Q30" s="7">
        <f>O30*E30</f>
        <v>713184.3750000001</v>
      </c>
      <c r="R30" s="7">
        <f>P30*60</f>
        <v>41179833.06144494</v>
      </c>
      <c r="S30" s="7">
        <f>Q30*60</f>
        <v>42791062.50000001</v>
      </c>
      <c r="T30" s="6">
        <v>2.182995500000004</v>
      </c>
      <c r="U30" s="6">
        <v>2.247017000000028</v>
      </c>
      <c r="V30" s="6">
        <v>4.472034399999984</v>
      </c>
      <c r="W30" s="6">
        <v>5.863247800000011</v>
      </c>
      <c r="X30" s="6">
        <v>28.76325846000009</v>
      </c>
      <c r="Y30" s="6">
        <v>47.27539453999998</v>
      </c>
      <c r="Z30" s="6">
        <v>-15.967690499994205</v>
      </c>
      <c r="AA30" s="6">
        <v>-15.90665999999328</v>
      </c>
      <c r="AB30" s="6">
        <v>-13.526169000004302</v>
      </c>
      <c r="AC30" s="6">
        <v>-12.837838999999803</v>
      </c>
      <c r="AD30" s="6">
        <v>6.748220009998477</v>
      </c>
      <c r="AE30" s="6">
        <v>13.20858872000099</v>
      </c>
      <c r="AF30" s="6">
        <v>0</v>
      </c>
      <c r="AG30" s="6">
        <v>0</v>
      </c>
      <c r="AH30" s="6">
        <v>1</v>
      </c>
      <c r="AI30" s="6">
        <v>1</v>
      </c>
      <c r="AJ30" s="6">
        <v>1</v>
      </c>
      <c r="AK30" s="6">
        <v>1</v>
      </c>
      <c r="AL30" s="6">
        <v>504.14208299441225</v>
      </c>
      <c r="AM30" s="6">
        <v>60485.60401854239</v>
      </c>
      <c r="AN30" s="6">
        <v>60524.02787048132</v>
      </c>
      <c r="AO30" s="9">
        <v>14990.47719455995</v>
      </c>
      <c r="AP30" s="4" t="s">
        <v>109</v>
      </c>
      <c r="AQ30" s="4" t="s">
        <v>110</v>
      </c>
      <c r="AR30" s="4" t="s">
        <v>115</v>
      </c>
      <c r="AS30" s="4" t="s">
        <v>23</v>
      </c>
      <c r="AT30" s="4" t="s">
        <v>23</v>
      </c>
      <c r="AU30" s="4" t="s">
        <v>23</v>
      </c>
    </row>
    <row r="31" ht="30" customHeight="1" spans="1:47" x14ac:dyDescent="0.25">
      <c r="A31" s="4" t="s">
        <v>108</v>
      </c>
      <c r="B31" s="4">
        <v>60</v>
      </c>
      <c r="C31" s="4">
        <v>640</v>
      </c>
      <c r="D31" s="8">
        <f>1000/F31</f>
        <v>50</v>
      </c>
      <c r="E31" s="4">
        <v>3000</v>
      </c>
      <c r="F31" s="4">
        <v>20</v>
      </c>
      <c r="G31" s="8">
        <f>500+E31*F31</f>
        <v>60500</v>
      </c>
      <c r="H31" s="4">
        <v>18000</v>
      </c>
      <c r="I31" s="4">
        <v>200423</v>
      </c>
      <c r="J31" s="4">
        <v>100030</v>
      </c>
      <c r="K31" s="5">
        <f>J31/I31</f>
        <v>0.4990944153116159</v>
      </c>
      <c r="L31" s="5">
        <v>0.5</v>
      </c>
      <c r="M31" s="5">
        <v>1</v>
      </c>
      <c r="N31" s="6">
        <v>274.34813132212196</v>
      </c>
      <c r="O31" s="6">
        <v>285.07812499999994</v>
      </c>
      <c r="P31" s="7">
        <f>N31*E31</f>
        <v>823044.3939663658</v>
      </c>
      <c r="Q31" s="7">
        <f>O31*E31</f>
        <v>855234.3749999999</v>
      </c>
      <c r="R31" s="7">
        <f>P31*60</f>
        <v>49382663.63798195</v>
      </c>
      <c r="S31" s="7">
        <f>Q31*60</f>
        <v>51314062.49999999</v>
      </c>
      <c r="T31" s="6">
        <v>14.02313700000002</v>
      </c>
      <c r="U31" s="6">
        <v>14.578277999999955</v>
      </c>
      <c r="V31" s="6">
        <v>30.28766380000002</v>
      </c>
      <c r="W31" s="6">
        <v>32.22824560000004</v>
      </c>
      <c r="X31" s="6">
        <v>79.45611974999997</v>
      </c>
      <c r="Y31" s="6">
        <v>105.60830806000024</v>
      </c>
      <c r="Z31" s="6">
        <v>2.241304000002856</v>
      </c>
      <c r="AA31" s="6">
        <v>2.9120830000028946</v>
      </c>
      <c r="AB31" s="6">
        <v>21.57429399999819</v>
      </c>
      <c r="AC31" s="6">
        <v>23.41190959999949</v>
      </c>
      <c r="AD31" s="6">
        <v>52.705040000000736</v>
      </c>
      <c r="AE31" s="6">
        <v>68.24643572000059</v>
      </c>
      <c r="AF31" s="6">
        <v>0</v>
      </c>
      <c r="AG31" s="6">
        <v>0</v>
      </c>
      <c r="AH31" s="6">
        <v>1</v>
      </c>
      <c r="AI31" s="6">
        <v>1</v>
      </c>
      <c r="AJ31" s="6">
        <v>1</v>
      </c>
      <c r="AK31" s="6">
        <v>1</v>
      </c>
      <c r="AL31" s="6">
        <v>517.969043473663</v>
      </c>
      <c r="AM31" s="6">
        <v>60505.88479280983</v>
      </c>
      <c r="AN31" s="6">
        <v>60544.477364117265</v>
      </c>
      <c r="AO31" s="9">
        <v>17988.526340362845</v>
      </c>
      <c r="AP31" s="4" t="s">
        <v>109</v>
      </c>
      <c r="AQ31" s="4" t="s">
        <v>110</v>
      </c>
      <c r="AR31" s="4" t="s">
        <v>116</v>
      </c>
      <c r="AS31" s="4" t="s">
        <v>23</v>
      </c>
      <c r="AT31" s="4" t="s">
        <v>23</v>
      </c>
      <c r="AU31" s="4" t="s">
        <v>23</v>
      </c>
    </row>
    <row r="32" ht="30" customHeight="1" spans="1:47" x14ac:dyDescent="0.25">
      <c r="A32" s="4" t="s">
        <v>117</v>
      </c>
      <c r="B32" s="4">
        <v>60</v>
      </c>
      <c r="C32" s="4">
        <v>640</v>
      </c>
      <c r="D32" s="8">
        <f>1000/F32</f>
        <v>100</v>
      </c>
      <c r="E32" s="4">
        <v>6000</v>
      </c>
      <c r="F32" s="4">
        <v>10</v>
      </c>
      <c r="G32" s="8">
        <f>500+E32*F32</f>
        <v>60500</v>
      </c>
      <c r="H32" s="4">
        <v>1000</v>
      </c>
      <c r="I32" s="4">
        <v>11134</v>
      </c>
      <c r="J32" s="4">
        <v>5564</v>
      </c>
      <c r="K32" s="5">
        <f>J32/I32</f>
        <v>0.4997305550565834</v>
      </c>
      <c r="L32" s="5">
        <v>0.5</v>
      </c>
      <c r="M32" s="5">
        <v>1</v>
      </c>
      <c r="N32" s="6">
        <v>15.245725430583967</v>
      </c>
      <c r="O32" s="6">
        <v>15.837499999999995</v>
      </c>
      <c r="P32" s="7">
        <f>N32*E32</f>
        <v>91474.3525835038</v>
      </c>
      <c r="Q32" s="7">
        <f>O32*E32</f>
        <v>95024.99999999997</v>
      </c>
      <c r="R32" s="7">
        <f>P32*60</f>
        <v>5488461.155010228</v>
      </c>
      <c r="S32" s="7">
        <f>Q32*60</f>
        <v>5701499.999999998</v>
      </c>
      <c r="T32" s="6">
        <v>2.768190500000003</v>
      </c>
      <c r="U32" s="6">
        <v>2.861311999999998</v>
      </c>
      <c r="V32" s="6">
        <v>3.9477835999999797</v>
      </c>
      <c r="W32" s="6">
        <v>4.1433830000000285</v>
      </c>
      <c r="X32" s="6">
        <v>5.629753330000028</v>
      </c>
      <c r="Y32" s="6">
        <v>8.768876570000032</v>
      </c>
      <c r="Z32" s="6">
        <v>-5.433037000002514</v>
      </c>
      <c r="AA32" s="6">
        <v>-4.967802999999549</v>
      </c>
      <c r="AB32" s="6">
        <v>-3.4185393000007025</v>
      </c>
      <c r="AC32" s="6">
        <v>-2.6154278999965754</v>
      </c>
      <c r="AD32" s="6">
        <v>-1.235017679995508</v>
      </c>
      <c r="AE32" s="6">
        <v>1.7164862599966</v>
      </c>
      <c r="AF32" s="6">
        <v>0</v>
      </c>
      <c r="AG32" s="6">
        <v>0</v>
      </c>
      <c r="AH32" s="6">
        <v>0</v>
      </c>
      <c r="AI32" s="6">
        <v>1</v>
      </c>
      <c r="AJ32" s="6">
        <v>1</v>
      </c>
      <c r="AK32" s="6">
        <v>1</v>
      </c>
      <c r="AL32" s="6">
        <v>502.94120538539613</v>
      </c>
      <c r="AM32" s="6">
        <v>60494.83374937505</v>
      </c>
      <c r="AN32" s="6">
        <v>60567.67028941225</v>
      </c>
      <c r="AO32" s="9">
        <v>998.7974361025648</v>
      </c>
      <c r="AP32" s="4" t="s">
        <v>109</v>
      </c>
      <c r="AQ32" s="4" t="s">
        <v>110</v>
      </c>
      <c r="AR32" s="4" t="s">
        <v>118</v>
      </c>
      <c r="AS32" s="4" t="s">
        <v>23</v>
      </c>
      <c r="AT32" s="4" t="s">
        <v>23</v>
      </c>
      <c r="AU32" s="4" t="s">
        <v>23</v>
      </c>
    </row>
    <row r="33" ht="30" customHeight="1" spans="1:47" x14ac:dyDescent="0.25">
      <c r="A33" s="4" t="s">
        <v>117</v>
      </c>
      <c r="B33" s="4">
        <v>60</v>
      </c>
      <c r="C33" s="4">
        <v>640</v>
      </c>
      <c r="D33" s="8">
        <f>1000/F33</f>
        <v>100</v>
      </c>
      <c r="E33" s="4">
        <v>6000</v>
      </c>
      <c r="F33" s="4">
        <v>10</v>
      </c>
      <c r="G33" s="8">
        <f>500+E33*F33</f>
        <v>60500</v>
      </c>
      <c r="H33" s="4">
        <v>2000</v>
      </c>
      <c r="I33" s="4">
        <v>22259</v>
      </c>
      <c r="J33" s="4">
        <v>11120</v>
      </c>
      <c r="K33" s="5">
        <f>J33/I33</f>
        <v>0.4995732063435015</v>
      </c>
      <c r="L33" s="5">
        <v>0.5</v>
      </c>
      <c r="M33" s="5">
        <v>1</v>
      </c>
      <c r="N33" s="6">
        <v>30.475973444170872</v>
      </c>
      <c r="O33" s="6">
        <v>31.659375</v>
      </c>
      <c r="P33" s="7">
        <f>N33*E33</f>
        <v>182855.84066502523</v>
      </c>
      <c r="Q33" s="7">
        <f>O33*E33</f>
        <v>189956.25</v>
      </c>
      <c r="R33" s="7">
        <f>P33*60</f>
        <v>10971350.439901514</v>
      </c>
      <c r="S33" s="7">
        <f>Q33*60</f>
        <v>11397375</v>
      </c>
      <c r="T33" s="6">
        <v>2.0782625000000507</v>
      </c>
      <c r="U33" s="6">
        <v>2.1831569999999942</v>
      </c>
      <c r="V33" s="6">
        <v>3.078733999999997</v>
      </c>
      <c r="W33" s="6">
        <v>3.2741139999999973</v>
      </c>
      <c r="X33" s="6">
        <v>4.585267390000013</v>
      </c>
      <c r="Y33" s="6">
        <v>7.178786580000008</v>
      </c>
      <c r="Z33" s="6">
        <v>-5.602759000001242</v>
      </c>
      <c r="AA33" s="6">
        <v>-5.25680299999658</v>
      </c>
      <c r="AB33" s="6">
        <v>-3.8741778999974485</v>
      </c>
      <c r="AC33" s="6">
        <v>-3.1550912000020617</v>
      </c>
      <c r="AD33" s="6">
        <v>-2.2505515000011656</v>
      </c>
      <c r="AE33" s="6">
        <v>0.03489601999899605</v>
      </c>
      <c r="AF33" s="6">
        <v>0</v>
      </c>
      <c r="AG33" s="6">
        <v>0</v>
      </c>
      <c r="AH33" s="6">
        <v>1</v>
      </c>
      <c r="AI33" s="6">
        <v>1</v>
      </c>
      <c r="AJ33" s="6">
        <v>1</v>
      </c>
      <c r="AK33" s="6">
        <v>1</v>
      </c>
      <c r="AL33" s="6">
        <v>502.30653865748667</v>
      </c>
      <c r="AM33" s="6">
        <v>60494.55051780724</v>
      </c>
      <c r="AN33" s="6">
        <v>60567.05985383139</v>
      </c>
      <c r="AO33" s="9">
        <v>1997.605641651462</v>
      </c>
      <c r="AP33" s="4" t="s">
        <v>109</v>
      </c>
      <c r="AQ33" s="4" t="s">
        <v>110</v>
      </c>
      <c r="AR33" s="4" t="s">
        <v>119</v>
      </c>
      <c r="AS33" s="4" t="s">
        <v>23</v>
      </c>
      <c r="AT33" s="4" t="s">
        <v>23</v>
      </c>
      <c r="AU33" s="4" t="s">
        <v>23</v>
      </c>
    </row>
    <row r="34" ht="30" customHeight="1" spans="1:47" x14ac:dyDescent="0.25">
      <c r="A34" s="4" t="s">
        <v>117</v>
      </c>
      <c r="B34" s="4">
        <v>60</v>
      </c>
      <c r="C34" s="4">
        <v>640</v>
      </c>
      <c r="D34" s="8">
        <f>1000/F34</f>
        <v>100</v>
      </c>
      <c r="E34" s="4">
        <v>6000</v>
      </c>
      <c r="F34" s="4">
        <v>10</v>
      </c>
      <c r="G34" s="8">
        <f>500+E34*F34</f>
        <v>60500</v>
      </c>
      <c r="H34" s="4">
        <v>5000</v>
      </c>
      <c r="I34" s="4">
        <v>55622</v>
      </c>
      <c r="J34" s="4">
        <v>27711</v>
      </c>
      <c r="K34" s="5">
        <f>J34/I34</f>
        <v>0.4982021502283269</v>
      </c>
      <c r="L34" s="5">
        <v>0.5</v>
      </c>
      <c r="M34" s="5">
        <v>1</v>
      </c>
      <c r="N34" s="6">
        <v>76.14261885767246</v>
      </c>
      <c r="O34" s="6">
        <v>79.11874999999999</v>
      </c>
      <c r="P34" s="7">
        <f>N34*E34</f>
        <v>456855.71314603474</v>
      </c>
      <c r="Q34" s="7">
        <f>O34*E34</f>
        <v>474712.49999999994</v>
      </c>
      <c r="R34" s="7">
        <f>P34*60</f>
        <v>27411342.788762085</v>
      </c>
      <c r="S34" s="7">
        <f>Q34*60</f>
        <v>28482749.999999996</v>
      </c>
      <c r="T34" s="6">
        <v>2.0532549999999787</v>
      </c>
      <c r="U34" s="6">
        <v>2.117482999999993</v>
      </c>
      <c r="V34" s="6">
        <v>2.810854000000006</v>
      </c>
      <c r="W34" s="6">
        <v>2.8967150999999944</v>
      </c>
      <c r="X34" s="6">
        <v>5.568266300000005</v>
      </c>
      <c r="Y34" s="6">
        <v>8.912034639999945</v>
      </c>
      <c r="Z34" s="6">
        <v>-5.566560999999638</v>
      </c>
      <c r="AA34" s="6">
        <v>-5.2717869999978575</v>
      </c>
      <c r="AB34" s="6">
        <v>-3.7071886000048835</v>
      </c>
      <c r="AC34" s="6">
        <v>-3.542985200001567</v>
      </c>
      <c r="AD34" s="6">
        <v>-1.8676090700027999</v>
      </c>
      <c r="AE34" s="6">
        <v>-0.01689059999625897</v>
      </c>
      <c r="AF34" s="6">
        <v>0</v>
      </c>
      <c r="AG34" s="6">
        <v>0</v>
      </c>
      <c r="AH34" s="6">
        <v>1</v>
      </c>
      <c r="AI34" s="6">
        <v>1</v>
      </c>
      <c r="AJ34" s="6">
        <v>1</v>
      </c>
      <c r="AK34" s="6">
        <v>1</v>
      </c>
      <c r="AL34" s="6">
        <v>502.2946539021249</v>
      </c>
      <c r="AM34" s="6">
        <v>60494.72670712925</v>
      </c>
      <c r="AN34" s="6">
        <v>60569.40690772857</v>
      </c>
      <c r="AO34" s="9">
        <v>4993.835154830718</v>
      </c>
      <c r="AP34" s="4" t="s">
        <v>109</v>
      </c>
      <c r="AQ34" s="4" t="s">
        <v>110</v>
      </c>
      <c r="AR34" s="4" t="s">
        <v>120</v>
      </c>
      <c r="AS34" s="4" t="s">
        <v>23</v>
      </c>
      <c r="AT34" s="4" t="s">
        <v>23</v>
      </c>
      <c r="AU34" s="4" t="s">
        <v>23</v>
      </c>
    </row>
    <row r="35" ht="30" customHeight="1" spans="1:47" x14ac:dyDescent="0.25">
      <c r="A35" s="4" t="s">
        <v>117</v>
      </c>
      <c r="B35" s="4">
        <v>60</v>
      </c>
      <c r="C35" s="4">
        <v>640</v>
      </c>
      <c r="D35" s="8">
        <f>1000/F35</f>
        <v>100</v>
      </c>
      <c r="E35" s="4">
        <v>6000</v>
      </c>
      <c r="F35" s="4">
        <v>10</v>
      </c>
      <c r="G35" s="8">
        <f>500+E35*F35</f>
        <v>60500</v>
      </c>
      <c r="H35" s="4">
        <v>10000</v>
      </c>
      <c r="I35" s="4">
        <v>111222</v>
      </c>
      <c r="J35" s="4">
        <v>55706</v>
      </c>
      <c r="K35" s="5">
        <f>J35/I35</f>
        <v>0.5008541475607344</v>
      </c>
      <c r="L35" s="5">
        <v>0.5</v>
      </c>
      <c r="M35" s="5">
        <v>1</v>
      </c>
      <c r="N35" s="6">
        <v>152.23857928061045</v>
      </c>
      <c r="O35" s="6">
        <v>158.19218750000002</v>
      </c>
      <c r="P35" s="7">
        <f>N35*E35</f>
        <v>913431.4756836627</v>
      </c>
      <c r="Q35" s="7">
        <f>O35*E35</f>
        <v>949153.1250000001</v>
      </c>
      <c r="R35" s="7">
        <f>P35*60</f>
        <v>54805888.54101976</v>
      </c>
      <c r="S35" s="7">
        <f>Q35*60</f>
        <v>56949187.50000001</v>
      </c>
      <c r="T35" s="6">
        <v>6.837384999999983</v>
      </c>
      <c r="U35" s="6">
        <v>7.767018000000007</v>
      </c>
      <c r="V35" s="6">
        <v>19.509934799999996</v>
      </c>
      <c r="W35" s="6">
        <v>24.685329199999956</v>
      </c>
      <c r="X35" s="6">
        <v>60.64981534000003</v>
      </c>
      <c r="Y35" s="6">
        <v>70.64424099999997</v>
      </c>
      <c r="Z35" s="6">
        <v>1.9076964999985648</v>
      </c>
      <c r="AA35" s="6">
        <v>2.626698000000033</v>
      </c>
      <c r="AB35" s="6">
        <v>15.0019386999993</v>
      </c>
      <c r="AC35" s="6">
        <v>18.21547900000587</v>
      </c>
      <c r="AD35" s="6">
        <v>39.72319222000078</v>
      </c>
      <c r="AE35" s="6">
        <v>50.769048130001465</v>
      </c>
      <c r="AF35" s="6">
        <v>0</v>
      </c>
      <c r="AG35" s="6">
        <v>0</v>
      </c>
      <c r="AH35" s="6">
        <v>1</v>
      </c>
      <c r="AI35" s="6">
        <v>1</v>
      </c>
      <c r="AJ35" s="6">
        <v>1</v>
      </c>
      <c r="AK35" s="6">
        <v>1</v>
      </c>
      <c r="AL35" s="6">
        <v>511.2625399298253</v>
      </c>
      <c r="AM35" s="6">
        <v>60505.26991041901</v>
      </c>
      <c r="AN35" s="6">
        <v>60584.34397432117</v>
      </c>
      <c r="AO35" s="9">
        <v>9986.948137600375</v>
      </c>
      <c r="AP35" s="4" t="s">
        <v>109</v>
      </c>
      <c r="AQ35" s="4" t="s">
        <v>110</v>
      </c>
      <c r="AR35" s="4" t="s">
        <v>121</v>
      </c>
      <c r="AS35" s="4" t="s">
        <v>23</v>
      </c>
      <c r="AT35" s="4" t="s">
        <v>23</v>
      </c>
      <c r="AU35" s="4" t="s">
        <v>23</v>
      </c>
    </row>
    <row r="36" ht="30" customHeight="1" spans="1:47" x14ac:dyDescent="0.25">
      <c r="A36" s="4" t="s">
        <v>117</v>
      </c>
      <c r="B36" s="4">
        <v>60</v>
      </c>
      <c r="C36" s="4">
        <v>640</v>
      </c>
      <c r="D36" s="8">
        <f>1000/F36</f>
        <v>100</v>
      </c>
      <c r="E36" s="4">
        <v>6000</v>
      </c>
      <c r="F36" s="4">
        <v>10</v>
      </c>
      <c r="G36" s="8">
        <f>500+E36*F36</f>
        <v>60500</v>
      </c>
      <c r="H36" s="4">
        <v>15000</v>
      </c>
      <c r="I36" s="4">
        <v>166367</v>
      </c>
      <c r="J36" s="4">
        <v>83337</v>
      </c>
      <c r="K36" s="5">
        <f>J36/I36</f>
        <v>0.5009226589407755</v>
      </c>
      <c r="L36" s="5">
        <v>0.5</v>
      </c>
      <c r="M36" s="5">
        <v>1</v>
      </c>
      <c r="N36" s="6">
        <v>227.70102876935675</v>
      </c>
      <c r="O36" s="6">
        <v>236.57812499999997</v>
      </c>
      <c r="P36" s="7">
        <f>N36*E36</f>
        <v>1366206.1726161405</v>
      </c>
      <c r="Q36" s="7">
        <f>O36*E36</f>
        <v>1419468.7499999998</v>
      </c>
      <c r="R36" s="7">
        <f>P36*60</f>
        <v>81972370.35696843</v>
      </c>
      <c r="S36" s="7">
        <f>Q36*60</f>
        <v>85168124.99999999</v>
      </c>
      <c r="T36" s="6">
        <v>23.68266799999992</v>
      </c>
      <c r="U36" s="6">
        <v>28.67894149999995</v>
      </c>
      <c r="V36" s="6">
        <v>83.96871080000005</v>
      </c>
      <c r="W36" s="6">
        <v>103.76777949999996</v>
      </c>
      <c r="X36" s="6">
        <v>132.24894639999968</v>
      </c>
      <c r="Y36" s="6">
        <v>184.99695380000026</v>
      </c>
      <c r="Z36" s="6">
        <v>26.03159400000004</v>
      </c>
      <c r="AA36" s="6">
        <v>31.647955499996897</v>
      </c>
      <c r="AB36" s="6">
        <v>104.28867499999615</v>
      </c>
      <c r="AC36" s="6">
        <v>126.03722600000037</v>
      </c>
      <c r="AD36" s="6">
        <v>318.56708520000393</v>
      </c>
      <c r="AE36" s="6">
        <v>364.84522643000673</v>
      </c>
      <c r="AF36" s="6">
        <v>0</v>
      </c>
      <c r="AG36" s="6">
        <v>0</v>
      </c>
      <c r="AH36" s="6">
        <v>1</v>
      </c>
      <c r="AI36" s="6">
        <v>1</v>
      </c>
      <c r="AJ36" s="6">
        <v>1</v>
      </c>
      <c r="AK36" s="6">
        <v>1</v>
      </c>
      <c r="AL36" s="6">
        <v>540.4948486789151</v>
      </c>
      <c r="AM36" s="6">
        <v>60550.42558291243</v>
      </c>
      <c r="AN36" s="6">
        <v>60673.692185027794</v>
      </c>
      <c r="AO36" s="9">
        <v>14969.525876145244</v>
      </c>
      <c r="AP36" s="4" t="s">
        <v>109</v>
      </c>
      <c r="AQ36" s="4" t="s">
        <v>110</v>
      </c>
      <c r="AR36" s="4" t="s">
        <v>122</v>
      </c>
      <c r="AS36" s="4" t="s">
        <v>23</v>
      </c>
      <c r="AT36" s="4" t="s">
        <v>23</v>
      </c>
      <c r="AU36" s="4" t="s">
        <v>23</v>
      </c>
    </row>
    <row r="37" ht="30" customHeight="1" spans="1:47" x14ac:dyDescent="0.25">
      <c r="A37" s="4" t="s">
        <v>117</v>
      </c>
      <c r="B37" s="4">
        <v>60</v>
      </c>
      <c r="C37" s="4">
        <v>640</v>
      </c>
      <c r="D37" s="8">
        <f>1000/F37</f>
        <v>100</v>
      </c>
      <c r="E37" s="4">
        <v>6000</v>
      </c>
      <c r="F37" s="4">
        <v>10</v>
      </c>
      <c r="G37" s="8">
        <f>500+E37*F37</f>
        <v>60500</v>
      </c>
      <c r="H37" s="4">
        <v>18000</v>
      </c>
      <c r="I37" s="4">
        <v>198969</v>
      </c>
      <c r="J37" s="4">
        <v>99710</v>
      </c>
      <c r="K37" s="5">
        <f>J37/I37</f>
        <v>0.5011333423799688</v>
      </c>
      <c r="L37" s="5">
        <v>0.5</v>
      </c>
      <c r="M37" s="5">
        <v>1</v>
      </c>
      <c r="N37" s="6">
        <v>272.3460080337824</v>
      </c>
      <c r="O37" s="6">
        <v>282.8671875</v>
      </c>
      <c r="P37" s="7">
        <f>N37*E37</f>
        <v>1634076.0482026946</v>
      </c>
      <c r="Q37" s="7">
        <f>O37*E37</f>
        <v>1697203.125</v>
      </c>
      <c r="R37" s="7">
        <f>P37*60</f>
        <v>98044562.89216168</v>
      </c>
      <c r="S37" s="7">
        <f>Q37*60</f>
        <v>101832187.5</v>
      </c>
      <c r="T37" s="6">
        <v>53.95599349999998</v>
      </c>
      <c r="U37" s="6">
        <v>80.837988</v>
      </c>
      <c r="V37" s="6">
        <v>127.10262119999993</v>
      </c>
      <c r="W37" s="6">
        <v>234.487982</v>
      </c>
      <c r="X37" s="6">
        <v>224.45447592999994</v>
      </c>
      <c r="Y37" s="6">
        <v>480.5321362899998</v>
      </c>
      <c r="Z37" s="6">
        <v>58.8046650000033</v>
      </c>
      <c r="AA37" s="6">
        <v>73.88966500000242</v>
      </c>
      <c r="AB37" s="6">
        <v>255.84148119999736</v>
      </c>
      <c r="AC37" s="6">
        <v>314.31522499999846</v>
      </c>
      <c r="AD37" s="6">
        <v>703.5643684799943</v>
      </c>
      <c r="AE37" s="6">
        <v>803.9667059999992</v>
      </c>
      <c r="AF37" s="6">
        <v>0</v>
      </c>
      <c r="AG37" s="6">
        <v>0</v>
      </c>
      <c r="AH37" s="6">
        <v>1</v>
      </c>
      <c r="AI37" s="6">
        <v>1</v>
      </c>
      <c r="AJ37" s="6">
        <v>1</v>
      </c>
      <c r="AK37" s="6">
        <v>1</v>
      </c>
      <c r="AL37" s="6">
        <v>580.5777143766265</v>
      </c>
      <c r="AM37" s="6">
        <v>60616.634619789496</v>
      </c>
      <c r="AN37" s="6">
        <v>60896.720348246665</v>
      </c>
      <c r="AO37" s="9">
        <v>17917.23793615054</v>
      </c>
      <c r="AP37" s="4" t="s">
        <v>109</v>
      </c>
      <c r="AQ37" s="4" t="s">
        <v>110</v>
      </c>
      <c r="AR37" s="4" t="s">
        <v>123</v>
      </c>
      <c r="AS37" s="4" t="s">
        <v>23</v>
      </c>
      <c r="AT37" s="4" t="s">
        <v>23</v>
      </c>
      <c r="AU37" s="4" t="s">
        <v>23</v>
      </c>
    </row>
  </sheetData>
  <autoFilter ref="A1:AU1"/>
  <conditionalFormatting sqref="Y2:Y37">
    <cfRule type="colorScale" priority="1">
      <colorScale>
        <cfvo type="min"/>
        <cfvo type="percentile" val="50"/>
        <cfvo type="max"/>
        <color rgb="FFE2F0D9"/>
        <color rgb="FFFFF2CC"/>
        <color rgb="FFF8CBAD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  <headerFooter>
    <oddFooter>&amp;Lxrouter | 2026-10-14整理&amp;R第 &amp;P 页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77"/>
  <sheetViews>
    <sheetView workbookViewId="0" zoomScale="85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0" width="12" customWidth="1"/>
    <col min="11" max="25" width="18" customWidth="1"/>
    <col min="26" max="27" width="75" customWidth="1"/>
  </cols>
  <sheetData>
    <row r="1" ht="44" customHeight="1" spans="1:27" x14ac:dyDescent="0.25">
      <c r="A1" s="3" t="s">
        <v>124</v>
      </c>
      <c r="B1" s="3" t="s">
        <v>35</v>
      </c>
      <c r="C1" s="3" t="s">
        <v>6</v>
      </c>
      <c r="D1" s="3" t="s">
        <v>72</v>
      </c>
      <c r="E1" s="3" t="s">
        <v>125</v>
      </c>
      <c r="F1" s="3" t="s">
        <v>126</v>
      </c>
      <c r="G1" s="3" t="s">
        <v>41</v>
      </c>
      <c r="H1" s="3" t="s">
        <v>42</v>
      </c>
      <c r="I1" s="3" t="s">
        <v>127</v>
      </c>
      <c r="J1" s="3" t="s">
        <v>128</v>
      </c>
      <c r="K1" s="3" t="s">
        <v>129</v>
      </c>
      <c r="L1" s="3" t="s">
        <v>130</v>
      </c>
      <c r="M1" s="3" t="s">
        <v>131</v>
      </c>
      <c r="N1" s="3" t="s">
        <v>132</v>
      </c>
      <c r="O1" s="3" t="s">
        <v>133</v>
      </c>
      <c r="P1" s="3" t="s">
        <v>134</v>
      </c>
      <c r="Q1" s="3" t="s">
        <v>135</v>
      </c>
      <c r="R1" s="3" t="s">
        <v>136</v>
      </c>
      <c r="S1" s="3" t="s">
        <v>137</v>
      </c>
      <c r="T1" s="3" t="s">
        <v>138</v>
      </c>
      <c r="U1" s="3" t="s">
        <v>139</v>
      </c>
      <c r="V1" s="3" t="s">
        <v>140</v>
      </c>
      <c r="W1" s="3" t="s">
        <v>141</v>
      </c>
      <c r="X1" s="3" t="s">
        <v>142</v>
      </c>
      <c r="Y1" s="3" t="s">
        <v>143</v>
      </c>
      <c r="Z1" s="3" t="s">
        <v>144</v>
      </c>
      <c r="AA1" s="3" t="s">
        <v>145</v>
      </c>
    </row>
    <row r="2" ht="30" customHeight="1" spans="1:27" x14ac:dyDescent="0.25">
      <c r="A2" s="4" t="s">
        <v>146</v>
      </c>
      <c r="B2" s="4" t="s">
        <v>78</v>
      </c>
      <c r="C2" s="4">
        <v>1000</v>
      </c>
      <c r="D2" s="4" t="s">
        <v>79</v>
      </c>
      <c r="E2" s="4">
        <v>0</v>
      </c>
      <c r="F2" s="4">
        <v>63</v>
      </c>
      <c r="G2" s="4">
        <v>3669</v>
      </c>
      <c r="H2" s="4">
        <v>1804</v>
      </c>
      <c r="I2" s="4">
        <v>3463</v>
      </c>
      <c r="J2" s="5">
        <v>0</v>
      </c>
      <c r="K2" s="6">
        <v>504.696127</v>
      </c>
      <c r="L2" s="6">
        <v>511.648861</v>
      </c>
      <c r="M2" s="6">
        <v>521.09475188</v>
      </c>
      <c r="N2" s="6">
        <v>5454.429106</v>
      </c>
      <c r="O2" s="6">
        <v>5459.7815946</v>
      </c>
      <c r="P2" s="6">
        <v>5468.52079864</v>
      </c>
      <c r="Q2" s="6">
        <v>50</v>
      </c>
      <c r="R2" s="6">
        <v>51</v>
      </c>
      <c r="S2" s="6">
        <v>51</v>
      </c>
      <c r="T2" s="6">
        <v>506.0122040174438</v>
      </c>
      <c r="U2" s="6">
        <v>5455.464064995092</v>
      </c>
      <c r="V2" s="6">
        <v>5457.888624299814</v>
      </c>
      <c r="W2" s="4">
        <v>0</v>
      </c>
      <c r="X2" s="4">
        <v>0</v>
      </c>
      <c r="Y2" s="4">
        <v>0</v>
      </c>
      <c r="Z2" s="4" t="s">
        <v>147</v>
      </c>
      <c r="AA2" s="4" t="s">
        <v>148</v>
      </c>
    </row>
    <row r="3" ht="30" customHeight="1" spans="1:27" x14ac:dyDescent="0.25">
      <c r="A3" s="4" t="s">
        <v>146</v>
      </c>
      <c r="B3" s="4" t="s">
        <v>78</v>
      </c>
      <c r="C3" s="4">
        <v>1000</v>
      </c>
      <c r="D3" s="4" t="s">
        <v>79</v>
      </c>
      <c r="E3" s="4">
        <v>1</v>
      </c>
      <c r="F3" s="4">
        <v>63</v>
      </c>
      <c r="G3" s="4">
        <v>3668</v>
      </c>
      <c r="H3" s="4">
        <v>1866</v>
      </c>
      <c r="I3" s="4">
        <v>3462</v>
      </c>
      <c r="J3" s="5">
        <v>0</v>
      </c>
      <c r="K3" s="6">
        <v>504.586589</v>
      </c>
      <c r="L3" s="6">
        <v>511.7616669</v>
      </c>
      <c r="M3" s="6">
        <v>521.11477509</v>
      </c>
      <c r="N3" s="6">
        <v>5454.5882255</v>
      </c>
      <c r="O3" s="6">
        <v>5459.8111157</v>
      </c>
      <c r="P3" s="6">
        <v>5468.18832857</v>
      </c>
      <c r="Q3" s="6">
        <v>50</v>
      </c>
      <c r="R3" s="6">
        <v>51</v>
      </c>
      <c r="S3" s="6">
        <v>51</v>
      </c>
      <c r="T3" s="6">
        <v>505.95415065975885</v>
      </c>
      <c r="U3" s="6">
        <v>5455.564947819791</v>
      </c>
      <c r="V3" s="6">
        <v>5458.121831757088</v>
      </c>
      <c r="W3" s="4">
        <v>0</v>
      </c>
      <c r="X3" s="4">
        <v>0</v>
      </c>
      <c r="Y3" s="4">
        <v>0</v>
      </c>
      <c r="Z3" s="4" t="s">
        <v>149</v>
      </c>
      <c r="AA3" s="4" t="s">
        <v>150</v>
      </c>
    </row>
    <row r="4" ht="30" customHeight="1" spans="1:27" x14ac:dyDescent="0.25">
      <c r="A4" s="4" t="s">
        <v>146</v>
      </c>
      <c r="B4" s="4" t="s">
        <v>78</v>
      </c>
      <c r="C4" s="4">
        <v>1000</v>
      </c>
      <c r="D4" s="4" t="s">
        <v>79</v>
      </c>
      <c r="E4" s="4">
        <v>2</v>
      </c>
      <c r="F4" s="4">
        <v>63</v>
      </c>
      <c r="G4" s="4">
        <v>3669</v>
      </c>
      <c r="H4" s="4">
        <v>1807</v>
      </c>
      <c r="I4" s="4">
        <v>3463</v>
      </c>
      <c r="J4" s="5">
        <v>0</v>
      </c>
      <c r="K4" s="6">
        <v>504.569343</v>
      </c>
      <c r="L4" s="6">
        <v>511.9533032</v>
      </c>
      <c r="M4" s="6">
        <v>520.7970467600001</v>
      </c>
      <c r="N4" s="6">
        <v>5454.378948</v>
      </c>
      <c r="O4" s="6">
        <v>5459.9142334</v>
      </c>
      <c r="P4" s="6">
        <v>5468.4397558</v>
      </c>
      <c r="Q4" s="6">
        <v>50</v>
      </c>
      <c r="R4" s="6">
        <v>51</v>
      </c>
      <c r="S4" s="6">
        <v>51</v>
      </c>
      <c r="T4" s="6">
        <v>505.9679781828841</v>
      </c>
      <c r="U4" s="6">
        <v>5455.490116609716</v>
      </c>
      <c r="V4" s="6">
        <v>5457.995570349144</v>
      </c>
      <c r="W4" s="4">
        <v>0</v>
      </c>
      <c r="X4" s="4">
        <v>0</v>
      </c>
      <c r="Y4" s="4">
        <v>0</v>
      </c>
      <c r="Z4" s="4" t="s">
        <v>151</v>
      </c>
      <c r="AA4" s="4" t="s">
        <v>152</v>
      </c>
    </row>
    <row r="5" ht="30" customHeight="1" spans="1:27" x14ac:dyDescent="0.25">
      <c r="A5" s="4" t="s">
        <v>146</v>
      </c>
      <c r="B5" s="4" t="s">
        <v>78</v>
      </c>
      <c r="C5" s="4">
        <v>1000</v>
      </c>
      <c r="D5" s="4" t="s">
        <v>79</v>
      </c>
      <c r="E5" s="4">
        <v>3</v>
      </c>
      <c r="F5" s="4">
        <v>63</v>
      </c>
      <c r="G5" s="4">
        <v>3668</v>
      </c>
      <c r="H5" s="4">
        <v>1839</v>
      </c>
      <c r="I5" s="4">
        <v>3462</v>
      </c>
      <c r="J5" s="5">
        <v>0</v>
      </c>
      <c r="K5" s="6">
        <v>504.769789</v>
      </c>
      <c r="L5" s="6">
        <v>512.2835407</v>
      </c>
      <c r="M5" s="6">
        <v>521.66099836</v>
      </c>
      <c r="N5" s="6">
        <v>5454.5180385</v>
      </c>
      <c r="O5" s="6">
        <v>5460.052154800001</v>
      </c>
      <c r="P5" s="6">
        <v>5469.01306989</v>
      </c>
      <c r="Q5" s="6">
        <v>50</v>
      </c>
      <c r="R5" s="6">
        <v>51</v>
      </c>
      <c r="S5" s="6">
        <v>51</v>
      </c>
      <c r="T5" s="6">
        <v>506.1765729773711</v>
      </c>
      <c r="U5" s="6">
        <v>5455.566123529184</v>
      </c>
      <c r="V5" s="6">
        <v>5458.094252255716</v>
      </c>
      <c r="W5" s="4">
        <v>0</v>
      </c>
      <c r="X5" s="4">
        <v>0</v>
      </c>
      <c r="Y5" s="4">
        <v>0</v>
      </c>
      <c r="Z5" s="4" t="s">
        <v>153</v>
      </c>
      <c r="AA5" s="4" t="s">
        <v>154</v>
      </c>
    </row>
    <row r="6" ht="30" customHeight="1" spans="1:27" x14ac:dyDescent="0.25">
      <c r="A6" s="4" t="s">
        <v>146</v>
      </c>
      <c r="B6" s="4" t="s">
        <v>78</v>
      </c>
      <c r="C6" s="4">
        <v>1000</v>
      </c>
      <c r="D6" s="4" t="s">
        <v>79</v>
      </c>
      <c r="E6" s="4">
        <v>4</v>
      </c>
      <c r="F6" s="4">
        <v>63</v>
      </c>
      <c r="G6" s="4">
        <v>3668</v>
      </c>
      <c r="H6" s="4">
        <v>1772</v>
      </c>
      <c r="I6" s="4">
        <v>3462</v>
      </c>
      <c r="J6" s="5">
        <v>0</v>
      </c>
      <c r="K6" s="6">
        <v>504.442813</v>
      </c>
      <c r="L6" s="6">
        <v>511.2282587</v>
      </c>
      <c r="M6" s="6">
        <v>521.61260348</v>
      </c>
      <c r="N6" s="6">
        <v>5454.540219</v>
      </c>
      <c r="O6" s="6">
        <v>5459.7062487</v>
      </c>
      <c r="P6" s="6">
        <v>5468.40128099</v>
      </c>
      <c r="Q6" s="6">
        <v>50</v>
      </c>
      <c r="R6" s="6">
        <v>51</v>
      </c>
      <c r="S6" s="6">
        <v>51</v>
      </c>
      <c r="T6" s="6">
        <v>505.8327493170666</v>
      </c>
      <c r="U6" s="6">
        <v>5455.506500220816</v>
      </c>
      <c r="V6" s="6">
        <v>5457.942238634408</v>
      </c>
      <c r="W6" s="4">
        <v>0</v>
      </c>
      <c r="X6" s="4">
        <v>0</v>
      </c>
      <c r="Y6" s="4">
        <v>0</v>
      </c>
      <c r="Z6" s="4" t="s">
        <v>155</v>
      </c>
      <c r="AA6" s="4" t="s">
        <v>156</v>
      </c>
    </row>
    <row r="7" ht="30" customHeight="1" spans="1:27" x14ac:dyDescent="0.25">
      <c r="A7" s="4" t="s">
        <v>146</v>
      </c>
      <c r="B7" s="4" t="s">
        <v>78</v>
      </c>
      <c r="C7" s="4">
        <v>1000</v>
      </c>
      <c r="D7" s="4" t="s">
        <v>79</v>
      </c>
      <c r="E7" s="4">
        <v>5</v>
      </c>
      <c r="F7" s="4">
        <v>63</v>
      </c>
      <c r="G7" s="4">
        <v>3669</v>
      </c>
      <c r="H7" s="4">
        <v>1847</v>
      </c>
      <c r="I7" s="4">
        <v>3463</v>
      </c>
      <c r="J7" s="5">
        <v>0</v>
      </c>
      <c r="K7" s="6">
        <v>504.789853</v>
      </c>
      <c r="L7" s="6">
        <v>511.84904620000003</v>
      </c>
      <c r="M7" s="6">
        <v>521.73436924</v>
      </c>
      <c r="N7" s="6">
        <v>5454.455166</v>
      </c>
      <c r="O7" s="6">
        <v>5459.7811322</v>
      </c>
      <c r="P7" s="6">
        <v>5468.04456328</v>
      </c>
      <c r="Q7" s="6">
        <v>50</v>
      </c>
      <c r="R7" s="6">
        <v>51</v>
      </c>
      <c r="S7" s="6">
        <v>51</v>
      </c>
      <c r="T7" s="6">
        <v>506.0775415903519</v>
      </c>
      <c r="U7" s="6">
        <v>5455.467714493878</v>
      </c>
      <c r="V7" s="6">
        <v>5457.953587665571</v>
      </c>
      <c r="W7" s="4">
        <v>0</v>
      </c>
      <c r="X7" s="4">
        <v>0</v>
      </c>
      <c r="Y7" s="4">
        <v>0</v>
      </c>
      <c r="Z7" s="4" t="s">
        <v>157</v>
      </c>
      <c r="AA7" s="4" t="s">
        <v>158</v>
      </c>
    </row>
    <row r="8" ht="30" customHeight="1" spans="1:27" x14ac:dyDescent="0.25">
      <c r="A8" s="4" t="s">
        <v>146</v>
      </c>
      <c r="B8" s="4" t="s">
        <v>78</v>
      </c>
      <c r="C8" s="4">
        <v>1000</v>
      </c>
      <c r="D8" s="4" t="s">
        <v>79</v>
      </c>
      <c r="E8" s="4">
        <v>6</v>
      </c>
      <c r="F8" s="4">
        <v>63</v>
      </c>
      <c r="G8" s="4">
        <v>3668</v>
      </c>
      <c r="H8" s="4">
        <v>1866</v>
      </c>
      <c r="I8" s="4">
        <v>3462</v>
      </c>
      <c r="J8" s="5">
        <v>0</v>
      </c>
      <c r="K8" s="6">
        <v>504.7518995</v>
      </c>
      <c r="L8" s="6">
        <v>512.2482361</v>
      </c>
      <c r="M8" s="6">
        <v>520.7011116199999</v>
      </c>
      <c r="N8" s="6">
        <v>5454.4654285</v>
      </c>
      <c r="O8" s="6">
        <v>5459.90601</v>
      </c>
      <c r="P8" s="6">
        <v>5468.54750757</v>
      </c>
      <c r="Q8" s="6">
        <v>50</v>
      </c>
      <c r="R8" s="6">
        <v>51</v>
      </c>
      <c r="S8" s="6">
        <v>51</v>
      </c>
      <c r="T8" s="6">
        <v>506.11361829716515</v>
      </c>
      <c r="U8" s="6">
        <v>5455.505773839422</v>
      </c>
      <c r="V8" s="6">
        <v>5458.038608501904</v>
      </c>
      <c r="W8" s="4">
        <v>0</v>
      </c>
      <c r="X8" s="4">
        <v>0</v>
      </c>
      <c r="Y8" s="4">
        <v>0</v>
      </c>
      <c r="Z8" s="4" t="s">
        <v>159</v>
      </c>
      <c r="AA8" s="4" t="s">
        <v>160</v>
      </c>
    </row>
    <row r="9" ht="30" customHeight="1" spans="1:27" x14ac:dyDescent="0.25">
      <c r="A9" s="4" t="s">
        <v>146</v>
      </c>
      <c r="B9" s="4" t="s">
        <v>78</v>
      </c>
      <c r="C9" s="4">
        <v>1000</v>
      </c>
      <c r="D9" s="4" t="s">
        <v>79</v>
      </c>
      <c r="E9" s="4">
        <v>7</v>
      </c>
      <c r="F9" s="4">
        <v>63</v>
      </c>
      <c r="G9" s="4">
        <v>3669</v>
      </c>
      <c r="H9" s="4">
        <v>1820</v>
      </c>
      <c r="I9" s="4">
        <v>3463</v>
      </c>
      <c r="J9" s="5">
        <v>0</v>
      </c>
      <c r="K9" s="6">
        <v>504.778393</v>
      </c>
      <c r="L9" s="6">
        <v>512.2667046</v>
      </c>
      <c r="M9" s="6">
        <v>522.22066748</v>
      </c>
      <c r="N9" s="6">
        <v>5454.522118</v>
      </c>
      <c r="O9" s="6">
        <v>5460.1291202</v>
      </c>
      <c r="P9" s="6">
        <v>5469.214139639999</v>
      </c>
      <c r="Q9" s="6">
        <v>50</v>
      </c>
      <c r="R9" s="6">
        <v>51</v>
      </c>
      <c r="S9" s="6">
        <v>51</v>
      </c>
      <c r="T9" s="6">
        <v>506.16445494876075</v>
      </c>
      <c r="U9" s="6">
        <v>5455.601187844369</v>
      </c>
      <c r="V9" s="6">
        <v>5458.11358562007</v>
      </c>
      <c r="W9" s="4">
        <v>0</v>
      </c>
      <c r="X9" s="4">
        <v>0</v>
      </c>
      <c r="Y9" s="4">
        <v>0</v>
      </c>
      <c r="Z9" s="4" t="s">
        <v>161</v>
      </c>
      <c r="AA9" s="4" t="s">
        <v>162</v>
      </c>
    </row>
    <row r="10" ht="30" customHeight="1" spans="1:27" x14ac:dyDescent="0.25">
      <c r="A10" s="4" t="s">
        <v>146</v>
      </c>
      <c r="B10" s="4" t="s">
        <v>78</v>
      </c>
      <c r="C10" s="4">
        <v>1000</v>
      </c>
      <c r="D10" s="4" t="s">
        <v>79</v>
      </c>
      <c r="E10" s="4">
        <v>8</v>
      </c>
      <c r="F10" s="4">
        <v>62</v>
      </c>
      <c r="G10" s="4">
        <v>3611</v>
      </c>
      <c r="H10" s="4">
        <v>1767</v>
      </c>
      <c r="I10" s="4">
        <v>3409</v>
      </c>
      <c r="J10" s="5">
        <v>0</v>
      </c>
      <c r="K10" s="6">
        <v>504.529836</v>
      </c>
      <c r="L10" s="6">
        <v>511.807789</v>
      </c>
      <c r="M10" s="6">
        <v>521.2808216000001</v>
      </c>
      <c r="N10" s="6">
        <v>5454.38302</v>
      </c>
      <c r="O10" s="6">
        <v>5459.770024</v>
      </c>
      <c r="P10" s="6">
        <v>5467.8214588</v>
      </c>
      <c r="Q10" s="6">
        <v>50</v>
      </c>
      <c r="R10" s="6">
        <v>51</v>
      </c>
      <c r="S10" s="6">
        <v>51</v>
      </c>
      <c r="T10" s="6">
        <v>505.90081339878236</v>
      </c>
      <c r="U10" s="6">
        <v>5455.481784790918</v>
      </c>
      <c r="V10" s="6">
        <v>5457.943814658266</v>
      </c>
      <c r="W10" s="4">
        <v>0</v>
      </c>
      <c r="X10" s="4">
        <v>0</v>
      </c>
      <c r="Y10" s="4">
        <v>0</v>
      </c>
      <c r="Z10" s="4" t="s">
        <v>163</v>
      </c>
      <c r="AA10" s="4" t="s">
        <v>164</v>
      </c>
    </row>
    <row r="11" ht="30" customHeight="1" spans="1:27" x14ac:dyDescent="0.25">
      <c r="A11" s="4" t="s">
        <v>146</v>
      </c>
      <c r="B11" s="4" t="s">
        <v>78</v>
      </c>
      <c r="C11" s="4">
        <v>1000</v>
      </c>
      <c r="D11" s="4" t="s">
        <v>79</v>
      </c>
      <c r="E11" s="4">
        <v>9</v>
      </c>
      <c r="F11" s="4">
        <v>62</v>
      </c>
      <c r="G11" s="4">
        <v>3611</v>
      </c>
      <c r="H11" s="4">
        <v>1814</v>
      </c>
      <c r="I11" s="4">
        <v>3409</v>
      </c>
      <c r="J11" s="5">
        <v>0</v>
      </c>
      <c r="K11" s="6">
        <v>504.646449</v>
      </c>
      <c r="L11" s="6">
        <v>511.679923</v>
      </c>
      <c r="M11" s="6">
        <v>521.2737869</v>
      </c>
      <c r="N11" s="6">
        <v>5454.527685</v>
      </c>
      <c r="O11" s="6">
        <v>5459.713259</v>
      </c>
      <c r="P11" s="6">
        <v>5467.4733183</v>
      </c>
      <c r="Q11" s="6">
        <v>50</v>
      </c>
      <c r="R11" s="6">
        <v>51</v>
      </c>
      <c r="S11" s="6">
        <v>51</v>
      </c>
      <c r="T11" s="6">
        <v>505.9482199063967</v>
      </c>
      <c r="U11" s="6">
        <v>5455.467126083081</v>
      </c>
      <c r="V11" s="6">
        <v>5457.961371569091</v>
      </c>
      <c r="W11" s="4">
        <v>0</v>
      </c>
      <c r="X11" s="4">
        <v>0</v>
      </c>
      <c r="Y11" s="4">
        <v>0</v>
      </c>
      <c r="Z11" s="4" t="s">
        <v>165</v>
      </c>
      <c r="AA11" s="4" t="s">
        <v>166</v>
      </c>
    </row>
    <row r="12" ht="30" customHeight="1" spans="1:27" x14ac:dyDescent="0.25">
      <c r="A12" s="4" t="s">
        <v>146</v>
      </c>
      <c r="B12" s="4" t="s">
        <v>78</v>
      </c>
      <c r="C12" s="4">
        <v>1000</v>
      </c>
      <c r="D12" s="4" t="s">
        <v>79</v>
      </c>
      <c r="E12" s="4">
        <v>10</v>
      </c>
      <c r="F12" s="4">
        <v>62</v>
      </c>
      <c r="G12" s="4">
        <v>3611</v>
      </c>
      <c r="H12" s="4">
        <v>1774</v>
      </c>
      <c r="I12" s="4">
        <v>3409</v>
      </c>
      <c r="J12" s="5">
        <v>0</v>
      </c>
      <c r="K12" s="6">
        <v>504.753533</v>
      </c>
      <c r="L12" s="6">
        <v>511.801134</v>
      </c>
      <c r="M12" s="6">
        <v>521.4537923</v>
      </c>
      <c r="N12" s="6">
        <v>5454.480528</v>
      </c>
      <c r="O12" s="6">
        <v>5460.034409</v>
      </c>
      <c r="P12" s="6">
        <v>5468.9453844</v>
      </c>
      <c r="Q12" s="6">
        <v>50</v>
      </c>
      <c r="R12" s="6">
        <v>51</v>
      </c>
      <c r="S12" s="6">
        <v>51</v>
      </c>
      <c r="T12" s="6">
        <v>506.0691842168381</v>
      </c>
      <c r="U12" s="6">
        <v>5455.544900868476</v>
      </c>
      <c r="V12" s="6">
        <v>5458.062742757116</v>
      </c>
      <c r="W12" s="4">
        <v>0</v>
      </c>
      <c r="X12" s="4">
        <v>0</v>
      </c>
      <c r="Y12" s="4">
        <v>0</v>
      </c>
      <c r="Z12" s="4" t="s">
        <v>167</v>
      </c>
      <c r="AA12" s="4" t="s">
        <v>168</v>
      </c>
    </row>
    <row r="13" ht="30" customHeight="1" spans="1:27" x14ac:dyDescent="0.25">
      <c r="A13" s="4" t="s">
        <v>146</v>
      </c>
      <c r="B13" s="4" t="s">
        <v>78</v>
      </c>
      <c r="C13" s="4">
        <v>1000</v>
      </c>
      <c r="D13" s="4" t="s">
        <v>79</v>
      </c>
      <c r="E13" s="4">
        <v>11</v>
      </c>
      <c r="F13" s="4">
        <v>62</v>
      </c>
      <c r="G13" s="4">
        <v>3611</v>
      </c>
      <c r="H13" s="4">
        <v>1822</v>
      </c>
      <c r="I13" s="4">
        <v>3409</v>
      </c>
      <c r="J13" s="5">
        <v>0</v>
      </c>
      <c r="K13" s="6">
        <v>504.719839</v>
      </c>
      <c r="L13" s="6">
        <v>512.417436</v>
      </c>
      <c r="M13" s="6">
        <v>521.6072588</v>
      </c>
      <c r="N13" s="6">
        <v>5454.451659</v>
      </c>
      <c r="O13" s="6">
        <v>5459.911025</v>
      </c>
      <c r="P13" s="6">
        <v>5468.5154219</v>
      </c>
      <c r="Q13" s="6">
        <v>50</v>
      </c>
      <c r="R13" s="6">
        <v>51</v>
      </c>
      <c r="S13" s="6">
        <v>51</v>
      </c>
      <c r="T13" s="6">
        <v>506.15916471254474</v>
      </c>
      <c r="U13" s="6">
        <v>5455.537105474923</v>
      </c>
      <c r="V13" s="6">
        <v>5458.07494238854</v>
      </c>
      <c r="W13" s="4">
        <v>0</v>
      </c>
      <c r="X13" s="4">
        <v>0</v>
      </c>
      <c r="Y13" s="4">
        <v>0</v>
      </c>
      <c r="Z13" s="4" t="s">
        <v>169</v>
      </c>
      <c r="AA13" s="4" t="s">
        <v>170</v>
      </c>
    </row>
    <row r="14" ht="30" customHeight="1" spans="1:27" x14ac:dyDescent="0.25">
      <c r="A14" s="4" t="s">
        <v>146</v>
      </c>
      <c r="B14" s="4" t="s">
        <v>78</v>
      </c>
      <c r="C14" s="4">
        <v>1000</v>
      </c>
      <c r="D14" s="4" t="s">
        <v>79</v>
      </c>
      <c r="E14" s="4">
        <v>12</v>
      </c>
      <c r="F14" s="4">
        <v>62</v>
      </c>
      <c r="G14" s="4">
        <v>3611</v>
      </c>
      <c r="H14" s="4">
        <v>1827</v>
      </c>
      <c r="I14" s="4">
        <v>3409</v>
      </c>
      <c r="J14" s="5">
        <v>0</v>
      </c>
      <c r="K14" s="6">
        <v>504.684022</v>
      </c>
      <c r="L14" s="6">
        <v>511.953273</v>
      </c>
      <c r="M14" s="6">
        <v>522.2751775</v>
      </c>
      <c r="N14" s="6">
        <v>5454.525204</v>
      </c>
      <c r="O14" s="6">
        <v>5460.167659</v>
      </c>
      <c r="P14" s="6">
        <v>5468.2762329</v>
      </c>
      <c r="Q14" s="6">
        <v>50</v>
      </c>
      <c r="R14" s="6">
        <v>51</v>
      </c>
      <c r="S14" s="6">
        <v>51</v>
      </c>
      <c r="T14" s="6">
        <v>506.0541226654678</v>
      </c>
      <c r="U14" s="6">
        <v>5455.567718217376</v>
      </c>
      <c r="V14" s="6">
        <v>5458.075724437543</v>
      </c>
      <c r="W14" s="4">
        <v>0</v>
      </c>
      <c r="X14" s="4">
        <v>0</v>
      </c>
      <c r="Y14" s="4">
        <v>0</v>
      </c>
      <c r="Z14" s="4" t="s">
        <v>171</v>
      </c>
      <c r="AA14" s="4" t="s">
        <v>172</v>
      </c>
    </row>
    <row r="15" ht="30" customHeight="1" spans="1:27" x14ac:dyDescent="0.25">
      <c r="A15" s="4" t="s">
        <v>146</v>
      </c>
      <c r="B15" s="4" t="s">
        <v>78</v>
      </c>
      <c r="C15" s="4">
        <v>1000</v>
      </c>
      <c r="D15" s="4" t="s">
        <v>79</v>
      </c>
      <c r="E15" s="4">
        <v>13</v>
      </c>
      <c r="F15" s="4">
        <v>62</v>
      </c>
      <c r="G15" s="4">
        <v>3611</v>
      </c>
      <c r="H15" s="4">
        <v>1760</v>
      </c>
      <c r="I15" s="4">
        <v>3409</v>
      </c>
      <c r="J15" s="5">
        <v>0</v>
      </c>
      <c r="K15" s="6">
        <v>504.566765</v>
      </c>
      <c r="L15" s="6">
        <v>511.337626</v>
      </c>
      <c r="M15" s="6">
        <v>520.3923930000001</v>
      </c>
      <c r="N15" s="6">
        <v>5454.333194</v>
      </c>
      <c r="O15" s="6">
        <v>5459.562139</v>
      </c>
      <c r="P15" s="6">
        <v>5467.8822139</v>
      </c>
      <c r="Q15" s="6">
        <v>50</v>
      </c>
      <c r="R15" s="6">
        <v>51</v>
      </c>
      <c r="S15" s="6">
        <v>51</v>
      </c>
      <c r="T15" s="6">
        <v>505.8421660235389</v>
      </c>
      <c r="U15" s="6">
        <v>5455.366996636386</v>
      </c>
      <c r="V15" s="6">
        <v>5457.785673043211</v>
      </c>
      <c r="W15" s="4">
        <v>0</v>
      </c>
      <c r="X15" s="4">
        <v>0</v>
      </c>
      <c r="Y15" s="4">
        <v>0</v>
      </c>
      <c r="Z15" s="4" t="s">
        <v>173</v>
      </c>
      <c r="AA15" s="4" t="s">
        <v>174</v>
      </c>
    </row>
    <row r="16" ht="30" customHeight="1" spans="1:27" x14ac:dyDescent="0.25">
      <c r="A16" s="4" t="s">
        <v>146</v>
      </c>
      <c r="B16" s="4" t="s">
        <v>78</v>
      </c>
      <c r="C16" s="4">
        <v>1000</v>
      </c>
      <c r="D16" s="4" t="s">
        <v>79</v>
      </c>
      <c r="E16" s="4">
        <v>14</v>
      </c>
      <c r="F16" s="4">
        <v>62</v>
      </c>
      <c r="G16" s="4">
        <v>3611</v>
      </c>
      <c r="H16" s="4">
        <v>1802</v>
      </c>
      <c r="I16" s="4">
        <v>3409</v>
      </c>
      <c r="J16" s="5">
        <v>0</v>
      </c>
      <c r="K16" s="6">
        <v>504.766684</v>
      </c>
      <c r="L16" s="6">
        <v>511.705987</v>
      </c>
      <c r="M16" s="6">
        <v>520.9248190999999</v>
      </c>
      <c r="N16" s="6">
        <v>5454.445807</v>
      </c>
      <c r="O16" s="6">
        <v>5459.767929</v>
      </c>
      <c r="P16" s="6">
        <v>5468.685767</v>
      </c>
      <c r="Q16" s="6">
        <v>50</v>
      </c>
      <c r="R16" s="6">
        <v>51</v>
      </c>
      <c r="S16" s="6">
        <v>51</v>
      </c>
      <c r="T16" s="6">
        <v>506.0417808645813</v>
      </c>
      <c r="U16" s="6">
        <v>5455.479626934359</v>
      </c>
      <c r="V16" s="6">
        <v>5457.965814876762</v>
      </c>
      <c r="W16" s="4">
        <v>0</v>
      </c>
      <c r="X16" s="4">
        <v>0</v>
      </c>
      <c r="Y16" s="4">
        <v>0</v>
      </c>
      <c r="Z16" s="4" t="s">
        <v>175</v>
      </c>
      <c r="AA16" s="4" t="s">
        <v>176</v>
      </c>
    </row>
    <row r="17" ht="30" customHeight="1" spans="1:27" x14ac:dyDescent="0.25">
      <c r="A17" s="4" t="s">
        <v>146</v>
      </c>
      <c r="B17" s="4" t="s">
        <v>78</v>
      </c>
      <c r="C17" s="4">
        <v>1000</v>
      </c>
      <c r="D17" s="4" t="s">
        <v>79</v>
      </c>
      <c r="E17" s="4">
        <v>15</v>
      </c>
      <c r="F17" s="4">
        <v>62</v>
      </c>
      <c r="G17" s="4">
        <v>3611</v>
      </c>
      <c r="H17" s="4">
        <v>1819</v>
      </c>
      <c r="I17" s="4">
        <v>3409</v>
      </c>
      <c r="J17" s="5">
        <v>0</v>
      </c>
      <c r="K17" s="6">
        <v>504.711356</v>
      </c>
      <c r="L17" s="6">
        <v>511.739489</v>
      </c>
      <c r="M17" s="6">
        <v>521.0177097</v>
      </c>
      <c r="N17" s="6">
        <v>5454.487575</v>
      </c>
      <c r="O17" s="6">
        <v>5459.730901</v>
      </c>
      <c r="P17" s="6">
        <v>5467.8002428</v>
      </c>
      <c r="Q17" s="6">
        <v>50</v>
      </c>
      <c r="R17" s="6">
        <v>51</v>
      </c>
      <c r="S17" s="6">
        <v>51</v>
      </c>
      <c r="T17" s="6">
        <v>505.9910558006098</v>
      </c>
      <c r="U17" s="6">
        <v>5455.496245763236</v>
      </c>
      <c r="V17" s="6">
        <v>5457.960049662417</v>
      </c>
      <c r="W17" s="4">
        <v>0</v>
      </c>
      <c r="X17" s="4">
        <v>0</v>
      </c>
      <c r="Y17" s="4">
        <v>0</v>
      </c>
      <c r="Z17" s="4" t="s">
        <v>177</v>
      </c>
      <c r="AA17" s="4" t="s">
        <v>178</v>
      </c>
    </row>
    <row r="18" ht="30" customHeight="1" spans="1:27" x14ac:dyDescent="0.25">
      <c r="A18" s="4" t="s">
        <v>146</v>
      </c>
      <c r="B18" s="4" t="s">
        <v>78</v>
      </c>
      <c r="C18" s="4">
        <v>2000</v>
      </c>
      <c r="D18" s="4" t="s">
        <v>79</v>
      </c>
      <c r="E18" s="4">
        <v>0</v>
      </c>
      <c r="F18" s="4">
        <v>125</v>
      </c>
      <c r="G18" s="4">
        <v>7280</v>
      </c>
      <c r="H18" s="4">
        <v>3622</v>
      </c>
      <c r="I18" s="4">
        <v>6871</v>
      </c>
      <c r="J18" s="5">
        <v>0</v>
      </c>
      <c r="K18" s="6">
        <v>503.48761</v>
      </c>
      <c r="L18" s="6">
        <v>506.48738960000003</v>
      </c>
      <c r="M18" s="6">
        <v>510.0602055</v>
      </c>
      <c r="N18" s="6">
        <v>5453.8290175</v>
      </c>
      <c r="O18" s="6">
        <v>5456.719135200001</v>
      </c>
      <c r="P18" s="6">
        <v>5459.91448107</v>
      </c>
      <c r="Q18" s="6">
        <v>50</v>
      </c>
      <c r="R18" s="6">
        <v>51</v>
      </c>
      <c r="S18" s="6">
        <v>51</v>
      </c>
      <c r="T18" s="6">
        <v>503.98117726813143</v>
      </c>
      <c r="U18" s="6">
        <v>5454.285289382163</v>
      </c>
      <c r="V18" s="6">
        <v>5456.787932508108</v>
      </c>
      <c r="W18" s="4">
        <v>0</v>
      </c>
      <c r="X18" s="4">
        <v>0</v>
      </c>
      <c r="Y18" s="4">
        <v>0</v>
      </c>
      <c r="Z18" s="4" t="s">
        <v>179</v>
      </c>
      <c r="AA18" s="4" t="s">
        <v>180</v>
      </c>
    </row>
    <row r="19" ht="30" customHeight="1" spans="1:27" x14ac:dyDescent="0.25">
      <c r="A19" s="4" t="s">
        <v>146</v>
      </c>
      <c r="B19" s="4" t="s">
        <v>78</v>
      </c>
      <c r="C19" s="4">
        <v>2000</v>
      </c>
      <c r="D19" s="4" t="s">
        <v>79</v>
      </c>
      <c r="E19" s="4">
        <v>1</v>
      </c>
      <c r="F19" s="4">
        <v>125</v>
      </c>
      <c r="G19" s="4">
        <v>7280</v>
      </c>
      <c r="H19" s="4">
        <v>3706</v>
      </c>
      <c r="I19" s="4">
        <v>6871</v>
      </c>
      <c r="J19" s="5">
        <v>0</v>
      </c>
      <c r="K19" s="6">
        <v>503.460677</v>
      </c>
      <c r="L19" s="6">
        <v>506.39378469999997</v>
      </c>
      <c r="M19" s="6">
        <v>509.5442089</v>
      </c>
      <c r="N19" s="6">
        <v>5453.7959705</v>
      </c>
      <c r="O19" s="6">
        <v>5456.5896019</v>
      </c>
      <c r="P19" s="6">
        <v>5459.8436754800005</v>
      </c>
      <c r="Q19" s="6">
        <v>50</v>
      </c>
      <c r="R19" s="6">
        <v>51</v>
      </c>
      <c r="S19" s="6">
        <v>51</v>
      </c>
      <c r="T19" s="6">
        <v>503.90419048585113</v>
      </c>
      <c r="U19" s="6">
        <v>5454.2179911181565</v>
      </c>
      <c r="V19" s="6">
        <v>5456.835767548635</v>
      </c>
      <c r="W19" s="4">
        <v>0</v>
      </c>
      <c r="X19" s="4">
        <v>0</v>
      </c>
      <c r="Y19" s="4">
        <v>0</v>
      </c>
      <c r="Z19" s="4" t="s">
        <v>181</v>
      </c>
      <c r="AA19" s="4" t="s">
        <v>182</v>
      </c>
    </row>
    <row r="20" ht="30" customHeight="1" spans="1:27" x14ac:dyDescent="0.25">
      <c r="A20" s="4" t="s">
        <v>146</v>
      </c>
      <c r="B20" s="4" t="s">
        <v>78</v>
      </c>
      <c r="C20" s="4">
        <v>2000</v>
      </c>
      <c r="D20" s="4" t="s">
        <v>79</v>
      </c>
      <c r="E20" s="4">
        <v>2</v>
      </c>
      <c r="F20" s="4">
        <v>125</v>
      </c>
      <c r="G20" s="4">
        <v>7281</v>
      </c>
      <c r="H20" s="4">
        <v>3640</v>
      </c>
      <c r="I20" s="4">
        <v>6872</v>
      </c>
      <c r="J20" s="5">
        <v>0</v>
      </c>
      <c r="K20" s="6">
        <v>503.47789</v>
      </c>
      <c r="L20" s="6">
        <v>506.391179</v>
      </c>
      <c r="M20" s="6">
        <v>509.799947</v>
      </c>
      <c r="N20" s="6">
        <v>5453.758236</v>
      </c>
      <c r="O20" s="6">
        <v>5456.576207</v>
      </c>
      <c r="P20" s="6">
        <v>5460.0110974</v>
      </c>
      <c r="Q20" s="6">
        <v>50</v>
      </c>
      <c r="R20" s="6">
        <v>51</v>
      </c>
      <c r="S20" s="6">
        <v>51</v>
      </c>
      <c r="T20" s="6">
        <v>503.9399342547727</v>
      </c>
      <c r="U20" s="6">
        <v>5454.231031224696</v>
      </c>
      <c r="V20" s="6">
        <v>5456.814882761013</v>
      </c>
      <c r="W20" s="4">
        <v>0</v>
      </c>
      <c r="X20" s="4">
        <v>0</v>
      </c>
      <c r="Y20" s="4">
        <v>0</v>
      </c>
      <c r="Z20" s="4" t="s">
        <v>183</v>
      </c>
      <c r="AA20" s="4" t="s">
        <v>184</v>
      </c>
    </row>
    <row r="21" ht="30" customHeight="1" spans="1:27" x14ac:dyDescent="0.25">
      <c r="A21" s="4" t="s">
        <v>146</v>
      </c>
      <c r="B21" s="4" t="s">
        <v>78</v>
      </c>
      <c r="C21" s="4">
        <v>2000</v>
      </c>
      <c r="D21" s="4" t="s">
        <v>79</v>
      </c>
      <c r="E21" s="4">
        <v>3</v>
      </c>
      <c r="F21" s="4">
        <v>125</v>
      </c>
      <c r="G21" s="4">
        <v>7280</v>
      </c>
      <c r="H21" s="4">
        <v>3678</v>
      </c>
      <c r="I21" s="4">
        <v>6871</v>
      </c>
      <c r="J21" s="5">
        <v>0</v>
      </c>
      <c r="K21" s="6">
        <v>503.47448399999996</v>
      </c>
      <c r="L21" s="6">
        <v>506.3740469</v>
      </c>
      <c r="M21" s="6">
        <v>510.32396481</v>
      </c>
      <c r="N21" s="6">
        <v>5453.808575999999</v>
      </c>
      <c r="O21" s="6">
        <v>5456.5042602</v>
      </c>
      <c r="P21" s="6">
        <v>5459.324665839999</v>
      </c>
      <c r="Q21" s="6">
        <v>50</v>
      </c>
      <c r="R21" s="6">
        <v>51</v>
      </c>
      <c r="S21" s="6">
        <v>51</v>
      </c>
      <c r="T21" s="6">
        <v>504.00561029533196</v>
      </c>
      <c r="U21" s="6">
        <v>5454.296643461666</v>
      </c>
      <c r="V21" s="6">
        <v>5456.894276130362</v>
      </c>
      <c r="W21" s="4">
        <v>0</v>
      </c>
      <c r="X21" s="4">
        <v>0</v>
      </c>
      <c r="Y21" s="4">
        <v>0</v>
      </c>
      <c r="Z21" s="4" t="s">
        <v>185</v>
      </c>
      <c r="AA21" s="4" t="s">
        <v>186</v>
      </c>
    </row>
    <row r="22" ht="30" customHeight="1" spans="1:27" x14ac:dyDescent="0.25">
      <c r="A22" s="4" t="s">
        <v>146</v>
      </c>
      <c r="B22" s="4" t="s">
        <v>78</v>
      </c>
      <c r="C22" s="4">
        <v>2000</v>
      </c>
      <c r="D22" s="4" t="s">
        <v>79</v>
      </c>
      <c r="E22" s="4">
        <v>4</v>
      </c>
      <c r="F22" s="4">
        <v>125</v>
      </c>
      <c r="G22" s="4">
        <v>7280</v>
      </c>
      <c r="H22" s="4">
        <v>3641</v>
      </c>
      <c r="I22" s="4">
        <v>6871</v>
      </c>
      <c r="J22" s="5">
        <v>0</v>
      </c>
      <c r="K22" s="6">
        <v>503.4783005</v>
      </c>
      <c r="L22" s="6">
        <v>506.32659920000003</v>
      </c>
      <c r="M22" s="6">
        <v>509.71252422000003</v>
      </c>
      <c r="N22" s="6">
        <v>5453.82805</v>
      </c>
      <c r="O22" s="6">
        <v>5456.7035551</v>
      </c>
      <c r="P22" s="6">
        <v>5459.7578151</v>
      </c>
      <c r="Q22" s="6">
        <v>50</v>
      </c>
      <c r="R22" s="6">
        <v>51</v>
      </c>
      <c r="S22" s="6">
        <v>51</v>
      </c>
      <c r="T22" s="6">
        <v>503.9140982653849</v>
      </c>
      <c r="U22" s="6">
        <v>5454.270735477885</v>
      </c>
      <c r="V22" s="6">
        <v>5456.8436013697665</v>
      </c>
      <c r="W22" s="4">
        <v>0</v>
      </c>
      <c r="X22" s="4">
        <v>0</v>
      </c>
      <c r="Y22" s="4">
        <v>0</v>
      </c>
      <c r="Z22" s="4" t="s">
        <v>187</v>
      </c>
      <c r="AA22" s="4" t="s">
        <v>188</v>
      </c>
    </row>
    <row r="23" ht="30" customHeight="1" spans="1:27" x14ac:dyDescent="0.25">
      <c r="A23" s="4" t="s">
        <v>146</v>
      </c>
      <c r="B23" s="4" t="s">
        <v>78</v>
      </c>
      <c r="C23" s="4">
        <v>2000</v>
      </c>
      <c r="D23" s="4" t="s">
        <v>79</v>
      </c>
      <c r="E23" s="4">
        <v>5</v>
      </c>
      <c r="F23" s="4">
        <v>125</v>
      </c>
      <c r="G23" s="4">
        <v>7280</v>
      </c>
      <c r="H23" s="4">
        <v>3611</v>
      </c>
      <c r="I23" s="4">
        <v>6871</v>
      </c>
      <c r="J23" s="5">
        <v>0</v>
      </c>
      <c r="K23" s="6">
        <v>503.474955</v>
      </c>
      <c r="L23" s="6">
        <v>506.3263128</v>
      </c>
      <c r="M23" s="6">
        <v>509.75978025</v>
      </c>
      <c r="N23" s="6">
        <v>5453.82021</v>
      </c>
      <c r="O23" s="6">
        <v>5456.6609304</v>
      </c>
      <c r="P23" s="6">
        <v>5459.8965836</v>
      </c>
      <c r="Q23" s="6">
        <v>50</v>
      </c>
      <c r="R23" s="6">
        <v>51</v>
      </c>
      <c r="S23" s="6">
        <v>51</v>
      </c>
      <c r="T23" s="6">
        <v>503.92328409752747</v>
      </c>
      <c r="U23" s="6">
        <v>5454.2598563787105</v>
      </c>
      <c r="V23" s="6">
        <v>5456.8040429844605</v>
      </c>
      <c r="W23" s="4">
        <v>0</v>
      </c>
      <c r="X23" s="4">
        <v>0</v>
      </c>
      <c r="Y23" s="4">
        <v>0</v>
      </c>
      <c r="Z23" s="4" t="s">
        <v>189</v>
      </c>
      <c r="AA23" s="4" t="s">
        <v>190</v>
      </c>
    </row>
    <row r="24" ht="30" customHeight="1" spans="1:27" x14ac:dyDescent="0.25">
      <c r="A24" s="4" t="s">
        <v>146</v>
      </c>
      <c r="B24" s="4" t="s">
        <v>78</v>
      </c>
      <c r="C24" s="4">
        <v>2000</v>
      </c>
      <c r="D24" s="4" t="s">
        <v>79</v>
      </c>
      <c r="E24" s="4">
        <v>6</v>
      </c>
      <c r="F24" s="4">
        <v>125</v>
      </c>
      <c r="G24" s="4">
        <v>7280</v>
      </c>
      <c r="H24" s="4">
        <v>3641</v>
      </c>
      <c r="I24" s="4">
        <v>6871</v>
      </c>
      <c r="J24" s="5">
        <v>0</v>
      </c>
      <c r="K24" s="6">
        <v>503.49084</v>
      </c>
      <c r="L24" s="6">
        <v>506.3681143</v>
      </c>
      <c r="M24" s="6">
        <v>509.69867316</v>
      </c>
      <c r="N24" s="6">
        <v>5453.8044185</v>
      </c>
      <c r="O24" s="6">
        <v>5456.666269900001</v>
      </c>
      <c r="P24" s="6">
        <v>5459.66866103</v>
      </c>
      <c r="Q24" s="6">
        <v>50</v>
      </c>
      <c r="R24" s="6">
        <v>51</v>
      </c>
      <c r="S24" s="6">
        <v>51</v>
      </c>
      <c r="T24" s="6">
        <v>503.93610524216996</v>
      </c>
      <c r="U24" s="6">
        <v>5454.253313167989</v>
      </c>
      <c r="V24" s="6">
        <v>5456.771772730627</v>
      </c>
      <c r="W24" s="4">
        <v>0</v>
      </c>
      <c r="X24" s="4">
        <v>0</v>
      </c>
      <c r="Y24" s="4">
        <v>0</v>
      </c>
      <c r="Z24" s="4" t="s">
        <v>191</v>
      </c>
      <c r="AA24" s="4" t="s">
        <v>192</v>
      </c>
    </row>
    <row r="25" ht="30" customHeight="1" spans="1:27" x14ac:dyDescent="0.25">
      <c r="A25" s="4" t="s">
        <v>146</v>
      </c>
      <c r="B25" s="4" t="s">
        <v>78</v>
      </c>
      <c r="C25" s="4">
        <v>2000</v>
      </c>
      <c r="D25" s="4" t="s">
        <v>79</v>
      </c>
      <c r="E25" s="4">
        <v>7</v>
      </c>
      <c r="F25" s="4">
        <v>125</v>
      </c>
      <c r="G25" s="4">
        <v>7280</v>
      </c>
      <c r="H25" s="4">
        <v>3595</v>
      </c>
      <c r="I25" s="4">
        <v>6871</v>
      </c>
      <c r="J25" s="5">
        <v>0</v>
      </c>
      <c r="K25" s="6">
        <v>503.51833899999997</v>
      </c>
      <c r="L25" s="6">
        <v>506.4075236</v>
      </c>
      <c r="M25" s="6">
        <v>509.98621765999997</v>
      </c>
      <c r="N25" s="6">
        <v>5453.8182795</v>
      </c>
      <c r="O25" s="6">
        <v>5456.6004621</v>
      </c>
      <c r="P25" s="6">
        <v>5459.788844049999</v>
      </c>
      <c r="Q25" s="6">
        <v>50</v>
      </c>
      <c r="R25" s="6">
        <v>51</v>
      </c>
      <c r="S25" s="6">
        <v>51</v>
      </c>
      <c r="T25" s="6">
        <v>503.96851644752655</v>
      </c>
      <c r="U25" s="6">
        <v>5454.2279908612645</v>
      </c>
      <c r="V25" s="6">
        <v>5456.739885834347</v>
      </c>
      <c r="W25" s="4">
        <v>0</v>
      </c>
      <c r="X25" s="4">
        <v>0</v>
      </c>
      <c r="Y25" s="4">
        <v>0</v>
      </c>
      <c r="Z25" s="4" t="s">
        <v>193</v>
      </c>
      <c r="AA25" s="4" t="s">
        <v>194</v>
      </c>
    </row>
    <row r="26" ht="30" customHeight="1" spans="1:27" x14ac:dyDescent="0.25">
      <c r="A26" s="4" t="s">
        <v>146</v>
      </c>
      <c r="B26" s="4" t="s">
        <v>78</v>
      </c>
      <c r="C26" s="4">
        <v>2000</v>
      </c>
      <c r="D26" s="4" t="s">
        <v>79</v>
      </c>
      <c r="E26" s="4">
        <v>8</v>
      </c>
      <c r="F26" s="4">
        <v>125</v>
      </c>
      <c r="G26" s="4">
        <v>7281</v>
      </c>
      <c r="H26" s="4">
        <v>3654</v>
      </c>
      <c r="I26" s="4">
        <v>6872</v>
      </c>
      <c r="J26" s="5">
        <v>0</v>
      </c>
      <c r="K26" s="6">
        <v>503.5352</v>
      </c>
      <c r="L26" s="6">
        <v>506.446567</v>
      </c>
      <c r="M26" s="6">
        <v>509.775642</v>
      </c>
      <c r="N26" s="6">
        <v>5453.836009</v>
      </c>
      <c r="O26" s="6">
        <v>5456.62138</v>
      </c>
      <c r="P26" s="6">
        <v>5459.9862834</v>
      </c>
      <c r="Q26" s="6">
        <v>50</v>
      </c>
      <c r="R26" s="6">
        <v>51</v>
      </c>
      <c r="S26" s="6">
        <v>51</v>
      </c>
      <c r="T26" s="6">
        <v>503.97048320299325</v>
      </c>
      <c r="U26" s="6">
        <v>5454.267658418633</v>
      </c>
      <c r="V26" s="6">
        <v>5456.829771151354</v>
      </c>
      <c r="W26" s="4">
        <v>0</v>
      </c>
      <c r="X26" s="4">
        <v>0</v>
      </c>
      <c r="Y26" s="4">
        <v>0</v>
      </c>
      <c r="Z26" s="4" t="s">
        <v>195</v>
      </c>
      <c r="AA26" s="4" t="s">
        <v>196</v>
      </c>
    </row>
    <row r="27" ht="30" customHeight="1" spans="1:27" x14ac:dyDescent="0.25">
      <c r="A27" s="4" t="s">
        <v>146</v>
      </c>
      <c r="B27" s="4" t="s">
        <v>78</v>
      </c>
      <c r="C27" s="4">
        <v>2000</v>
      </c>
      <c r="D27" s="4" t="s">
        <v>79</v>
      </c>
      <c r="E27" s="4">
        <v>9</v>
      </c>
      <c r="F27" s="4">
        <v>125</v>
      </c>
      <c r="G27" s="4">
        <v>7280</v>
      </c>
      <c r="H27" s="4">
        <v>3675</v>
      </c>
      <c r="I27" s="4">
        <v>6871</v>
      </c>
      <c r="J27" s="5">
        <v>0</v>
      </c>
      <c r="K27" s="6">
        <v>503.47794650000003</v>
      </c>
      <c r="L27" s="6">
        <v>506.37276679999997</v>
      </c>
      <c r="M27" s="6">
        <v>509.64668594</v>
      </c>
      <c r="N27" s="6">
        <v>5453.8327035</v>
      </c>
      <c r="O27" s="6">
        <v>5456.6783381000005</v>
      </c>
      <c r="P27" s="6">
        <v>5459.54625861</v>
      </c>
      <c r="Q27" s="6">
        <v>50</v>
      </c>
      <c r="R27" s="6">
        <v>51</v>
      </c>
      <c r="S27" s="6">
        <v>51</v>
      </c>
      <c r="T27" s="6">
        <v>503.93518816318715</v>
      </c>
      <c r="U27" s="6">
        <v>5454.264387504521</v>
      </c>
      <c r="V27" s="6">
        <v>5456.816206838307</v>
      </c>
      <c r="W27" s="4">
        <v>0</v>
      </c>
      <c r="X27" s="4">
        <v>0</v>
      </c>
      <c r="Y27" s="4">
        <v>0</v>
      </c>
      <c r="Z27" s="4" t="s">
        <v>197</v>
      </c>
      <c r="AA27" s="4" t="s">
        <v>198</v>
      </c>
    </row>
    <row r="28" ht="30" customHeight="1" spans="1:27" x14ac:dyDescent="0.25">
      <c r="A28" s="4" t="s">
        <v>146</v>
      </c>
      <c r="B28" s="4" t="s">
        <v>78</v>
      </c>
      <c r="C28" s="4">
        <v>2000</v>
      </c>
      <c r="D28" s="4" t="s">
        <v>79</v>
      </c>
      <c r="E28" s="4">
        <v>10</v>
      </c>
      <c r="F28" s="4">
        <v>125</v>
      </c>
      <c r="G28" s="4">
        <v>7281</v>
      </c>
      <c r="H28" s="4">
        <v>3602</v>
      </c>
      <c r="I28" s="4">
        <v>6872</v>
      </c>
      <c r="J28" s="5">
        <v>0</v>
      </c>
      <c r="K28" s="6">
        <v>503.449453</v>
      </c>
      <c r="L28" s="6">
        <v>506.315259</v>
      </c>
      <c r="M28" s="6">
        <v>509.6747662</v>
      </c>
      <c r="N28" s="6">
        <v>5453.79705</v>
      </c>
      <c r="O28" s="6">
        <v>5456.6473</v>
      </c>
      <c r="P28" s="6">
        <v>5459.9932554</v>
      </c>
      <c r="Q28" s="6">
        <v>50</v>
      </c>
      <c r="R28" s="6">
        <v>51</v>
      </c>
      <c r="S28" s="6">
        <v>51</v>
      </c>
      <c r="T28" s="6">
        <v>503.9122728816102</v>
      </c>
      <c r="U28" s="6">
        <v>5454.2464828884595</v>
      </c>
      <c r="V28" s="6">
        <v>5456.773931159994</v>
      </c>
      <c r="W28" s="4">
        <v>0</v>
      </c>
      <c r="X28" s="4">
        <v>0</v>
      </c>
      <c r="Y28" s="4">
        <v>0</v>
      </c>
      <c r="Z28" s="4" t="s">
        <v>199</v>
      </c>
      <c r="AA28" s="4" t="s">
        <v>200</v>
      </c>
    </row>
    <row r="29" ht="30" customHeight="1" spans="1:27" x14ac:dyDescent="0.25">
      <c r="A29" s="4" t="s">
        <v>146</v>
      </c>
      <c r="B29" s="4" t="s">
        <v>78</v>
      </c>
      <c r="C29" s="4">
        <v>2000</v>
      </c>
      <c r="D29" s="4" t="s">
        <v>79</v>
      </c>
      <c r="E29" s="4">
        <v>11</v>
      </c>
      <c r="F29" s="4">
        <v>125</v>
      </c>
      <c r="G29" s="4">
        <v>7281</v>
      </c>
      <c r="H29" s="4">
        <v>3656</v>
      </c>
      <c r="I29" s="4">
        <v>6872</v>
      </c>
      <c r="J29" s="5">
        <v>0</v>
      </c>
      <c r="K29" s="6">
        <v>503.462868</v>
      </c>
      <c r="L29" s="6">
        <v>506.366657</v>
      </c>
      <c r="M29" s="6">
        <v>509.827625</v>
      </c>
      <c r="N29" s="6">
        <v>5453.816115</v>
      </c>
      <c r="O29" s="6">
        <v>5456.560933</v>
      </c>
      <c r="P29" s="6">
        <v>5459.7759326</v>
      </c>
      <c r="Q29" s="6">
        <v>50</v>
      </c>
      <c r="R29" s="6">
        <v>51</v>
      </c>
      <c r="S29" s="6">
        <v>51</v>
      </c>
      <c r="T29" s="6">
        <v>503.9193444964975</v>
      </c>
      <c r="U29" s="6">
        <v>5454.245401989551</v>
      </c>
      <c r="V29" s="6">
        <v>5456.783042130227</v>
      </c>
      <c r="W29" s="4">
        <v>0</v>
      </c>
      <c r="X29" s="4">
        <v>0</v>
      </c>
      <c r="Y29" s="4">
        <v>0</v>
      </c>
      <c r="Z29" s="4" t="s">
        <v>201</v>
      </c>
      <c r="AA29" s="4" t="s">
        <v>202</v>
      </c>
    </row>
    <row r="30" ht="30" customHeight="1" spans="1:27" x14ac:dyDescent="0.25">
      <c r="A30" s="4" t="s">
        <v>146</v>
      </c>
      <c r="B30" s="4" t="s">
        <v>78</v>
      </c>
      <c r="C30" s="4">
        <v>2000</v>
      </c>
      <c r="D30" s="4" t="s">
        <v>79</v>
      </c>
      <c r="E30" s="4">
        <v>12</v>
      </c>
      <c r="F30" s="4">
        <v>125</v>
      </c>
      <c r="G30" s="4">
        <v>7280</v>
      </c>
      <c r="H30" s="4">
        <v>3627</v>
      </c>
      <c r="I30" s="4">
        <v>6871</v>
      </c>
      <c r="J30" s="5">
        <v>0</v>
      </c>
      <c r="K30" s="6">
        <v>503.496944</v>
      </c>
      <c r="L30" s="6">
        <v>506.3837889</v>
      </c>
      <c r="M30" s="6">
        <v>509.8178719</v>
      </c>
      <c r="N30" s="6">
        <v>5453.8065705</v>
      </c>
      <c r="O30" s="6">
        <v>5456.6228623</v>
      </c>
      <c r="P30" s="6">
        <v>5459.80060634</v>
      </c>
      <c r="Q30" s="6">
        <v>50</v>
      </c>
      <c r="R30" s="6">
        <v>51</v>
      </c>
      <c r="S30" s="6">
        <v>51</v>
      </c>
      <c r="T30" s="6">
        <v>503.94208837032943</v>
      </c>
      <c r="U30" s="6">
        <v>5454.249396051259</v>
      </c>
      <c r="V30" s="6">
        <v>5456.798131235712</v>
      </c>
      <c r="W30" s="4">
        <v>0</v>
      </c>
      <c r="X30" s="4">
        <v>0</v>
      </c>
      <c r="Y30" s="4">
        <v>0</v>
      </c>
      <c r="Z30" s="4" t="s">
        <v>203</v>
      </c>
      <c r="AA30" s="4" t="s">
        <v>204</v>
      </c>
    </row>
    <row r="31" ht="30" customHeight="1" spans="1:27" x14ac:dyDescent="0.25">
      <c r="A31" s="4" t="s">
        <v>146</v>
      </c>
      <c r="B31" s="4" t="s">
        <v>78</v>
      </c>
      <c r="C31" s="4">
        <v>2000</v>
      </c>
      <c r="D31" s="4" t="s">
        <v>79</v>
      </c>
      <c r="E31" s="4">
        <v>13</v>
      </c>
      <c r="F31" s="4">
        <v>125</v>
      </c>
      <c r="G31" s="4">
        <v>7280</v>
      </c>
      <c r="H31" s="4">
        <v>3635</v>
      </c>
      <c r="I31" s="4">
        <v>6871</v>
      </c>
      <c r="J31" s="5">
        <v>0</v>
      </c>
      <c r="K31" s="6">
        <v>503.463815</v>
      </c>
      <c r="L31" s="6">
        <v>506.4287643</v>
      </c>
      <c r="M31" s="6">
        <v>509.55173561</v>
      </c>
      <c r="N31" s="6">
        <v>5453.77667</v>
      </c>
      <c r="O31" s="6">
        <v>5456.6165902</v>
      </c>
      <c r="P31" s="6">
        <v>5459.69546799</v>
      </c>
      <c r="Q31" s="6">
        <v>50</v>
      </c>
      <c r="R31" s="6">
        <v>51</v>
      </c>
      <c r="S31" s="6">
        <v>51</v>
      </c>
      <c r="T31" s="6">
        <v>503.93444286153925</v>
      </c>
      <c r="U31" s="6">
        <v>5454.211550037761</v>
      </c>
      <c r="V31" s="6">
        <v>5456.733089709349</v>
      </c>
      <c r="W31" s="4">
        <v>0</v>
      </c>
      <c r="X31" s="4">
        <v>0</v>
      </c>
      <c r="Y31" s="4">
        <v>0</v>
      </c>
      <c r="Z31" s="4" t="s">
        <v>205</v>
      </c>
      <c r="AA31" s="4" t="s">
        <v>206</v>
      </c>
    </row>
    <row r="32" ht="30" customHeight="1" spans="1:27" x14ac:dyDescent="0.25">
      <c r="A32" s="4" t="s">
        <v>146</v>
      </c>
      <c r="B32" s="4" t="s">
        <v>78</v>
      </c>
      <c r="C32" s="4">
        <v>2000</v>
      </c>
      <c r="D32" s="4" t="s">
        <v>79</v>
      </c>
      <c r="E32" s="4">
        <v>14</v>
      </c>
      <c r="F32" s="4">
        <v>125</v>
      </c>
      <c r="G32" s="4">
        <v>7280</v>
      </c>
      <c r="H32" s="4">
        <v>3590</v>
      </c>
      <c r="I32" s="4">
        <v>6871</v>
      </c>
      <c r="J32" s="5">
        <v>0</v>
      </c>
      <c r="K32" s="6">
        <v>503.463975</v>
      </c>
      <c r="L32" s="6">
        <v>506.44674610000004</v>
      </c>
      <c r="M32" s="6">
        <v>509.82814339</v>
      </c>
      <c r="N32" s="6">
        <v>5453.7894400000005</v>
      </c>
      <c r="O32" s="6">
        <v>5456.5968513</v>
      </c>
      <c r="P32" s="6">
        <v>5459.80289417</v>
      </c>
      <c r="Q32" s="6">
        <v>50</v>
      </c>
      <c r="R32" s="6">
        <v>51</v>
      </c>
      <c r="S32" s="6">
        <v>51</v>
      </c>
      <c r="T32" s="6">
        <v>503.9322880079668</v>
      </c>
      <c r="U32" s="6">
        <v>5454.243626204831</v>
      </c>
      <c r="V32" s="6">
        <v>5456.763636456745</v>
      </c>
      <c r="W32" s="4">
        <v>0</v>
      </c>
      <c r="X32" s="4">
        <v>0</v>
      </c>
      <c r="Y32" s="4">
        <v>0</v>
      </c>
      <c r="Z32" s="4" t="s">
        <v>207</v>
      </c>
      <c r="AA32" s="4" t="s">
        <v>208</v>
      </c>
    </row>
    <row r="33" ht="30" customHeight="1" spans="1:27" x14ac:dyDescent="0.25">
      <c r="A33" s="4" t="s">
        <v>146</v>
      </c>
      <c r="B33" s="4" t="s">
        <v>78</v>
      </c>
      <c r="C33" s="4">
        <v>2000</v>
      </c>
      <c r="D33" s="4" t="s">
        <v>79</v>
      </c>
      <c r="E33" s="4">
        <v>15</v>
      </c>
      <c r="F33" s="4">
        <v>125</v>
      </c>
      <c r="G33" s="4">
        <v>7280</v>
      </c>
      <c r="H33" s="4">
        <v>3695</v>
      </c>
      <c r="I33" s="4">
        <v>6871</v>
      </c>
      <c r="J33" s="5">
        <v>0</v>
      </c>
      <c r="K33" s="6">
        <v>503.4587105</v>
      </c>
      <c r="L33" s="6">
        <v>506.3743223</v>
      </c>
      <c r="M33" s="6">
        <v>509.72632114</v>
      </c>
      <c r="N33" s="6">
        <v>5453.7911215</v>
      </c>
      <c r="O33" s="6">
        <v>5456.6182332</v>
      </c>
      <c r="P33" s="6">
        <v>5459.56440489</v>
      </c>
      <c r="Q33" s="6">
        <v>50</v>
      </c>
      <c r="R33" s="6">
        <v>51</v>
      </c>
      <c r="S33" s="6">
        <v>51</v>
      </c>
      <c r="T33" s="6">
        <v>503.9040343105775</v>
      </c>
      <c r="U33" s="6">
        <v>5454.217629358239</v>
      </c>
      <c r="V33" s="6">
        <v>5456.781757532399</v>
      </c>
      <c r="W33" s="4">
        <v>0</v>
      </c>
      <c r="X33" s="4">
        <v>0</v>
      </c>
      <c r="Y33" s="4">
        <v>0</v>
      </c>
      <c r="Z33" s="4" t="s">
        <v>209</v>
      </c>
      <c r="AA33" s="4" t="s">
        <v>210</v>
      </c>
    </row>
    <row r="34" ht="30" customHeight="1" spans="1:27" x14ac:dyDescent="0.25">
      <c r="A34" s="4" t="s">
        <v>146</v>
      </c>
      <c r="B34" s="4" t="s">
        <v>78</v>
      </c>
      <c r="C34" s="4">
        <v>5000</v>
      </c>
      <c r="D34" s="4" t="s">
        <v>79</v>
      </c>
      <c r="E34" s="4">
        <v>0</v>
      </c>
      <c r="F34" s="4">
        <v>313</v>
      </c>
      <c r="G34" s="4">
        <v>18233</v>
      </c>
      <c r="H34" s="4">
        <v>9042</v>
      </c>
      <c r="I34" s="4">
        <v>17209</v>
      </c>
      <c r="J34" s="5">
        <v>0</v>
      </c>
      <c r="K34" s="6">
        <v>502.57448</v>
      </c>
      <c r="L34" s="6">
        <v>503.8038128</v>
      </c>
      <c r="M34" s="6">
        <v>505.4815158</v>
      </c>
      <c r="N34" s="6">
        <v>5453.283611</v>
      </c>
      <c r="O34" s="6">
        <v>5454.6568538</v>
      </c>
      <c r="P34" s="6">
        <v>5456.188798040001</v>
      </c>
      <c r="Q34" s="6">
        <v>50</v>
      </c>
      <c r="R34" s="6">
        <v>51</v>
      </c>
      <c r="S34" s="6">
        <v>51</v>
      </c>
      <c r="T34" s="6">
        <v>502.65889114736893</v>
      </c>
      <c r="U34" s="6">
        <v>5453.431962429282</v>
      </c>
      <c r="V34" s="6">
        <v>5456.0864067116045</v>
      </c>
      <c r="W34" s="4">
        <v>0</v>
      </c>
      <c r="X34" s="4">
        <v>0</v>
      </c>
      <c r="Y34" s="4">
        <v>0</v>
      </c>
      <c r="Z34" s="4" t="s">
        <v>211</v>
      </c>
      <c r="AA34" s="4" t="s">
        <v>212</v>
      </c>
    </row>
    <row r="35" ht="30" customHeight="1" spans="1:27" x14ac:dyDescent="0.25">
      <c r="A35" s="4" t="s">
        <v>146</v>
      </c>
      <c r="B35" s="4" t="s">
        <v>78</v>
      </c>
      <c r="C35" s="4">
        <v>5000</v>
      </c>
      <c r="D35" s="4" t="s">
        <v>79</v>
      </c>
      <c r="E35" s="4">
        <v>1</v>
      </c>
      <c r="F35" s="4">
        <v>313</v>
      </c>
      <c r="G35" s="4">
        <v>18233</v>
      </c>
      <c r="H35" s="4">
        <v>9120</v>
      </c>
      <c r="I35" s="4">
        <v>17209</v>
      </c>
      <c r="J35" s="5">
        <v>0</v>
      </c>
      <c r="K35" s="6">
        <v>502.553581</v>
      </c>
      <c r="L35" s="6">
        <v>503.7518626</v>
      </c>
      <c r="M35" s="6">
        <v>505.36619764</v>
      </c>
      <c r="N35" s="6">
        <v>5453.261362</v>
      </c>
      <c r="O35" s="6">
        <v>5454.6563572</v>
      </c>
      <c r="P35" s="6">
        <v>5456.33977324</v>
      </c>
      <c r="Q35" s="6">
        <v>50</v>
      </c>
      <c r="R35" s="6">
        <v>51</v>
      </c>
      <c r="S35" s="6">
        <v>51</v>
      </c>
      <c r="T35" s="6">
        <v>502.6383221457799</v>
      </c>
      <c r="U35" s="6">
        <v>5453.416000654689</v>
      </c>
      <c r="V35" s="6">
        <v>5456.077071801111</v>
      </c>
      <c r="W35" s="4">
        <v>0</v>
      </c>
      <c r="X35" s="4">
        <v>0</v>
      </c>
      <c r="Y35" s="4">
        <v>0</v>
      </c>
      <c r="Z35" s="4" t="s">
        <v>213</v>
      </c>
      <c r="AA35" s="4" t="s">
        <v>214</v>
      </c>
    </row>
    <row r="36" ht="30" customHeight="1" spans="1:27" x14ac:dyDescent="0.25">
      <c r="A36" s="4" t="s">
        <v>146</v>
      </c>
      <c r="B36" s="4" t="s">
        <v>78</v>
      </c>
      <c r="C36" s="4">
        <v>5000</v>
      </c>
      <c r="D36" s="4" t="s">
        <v>79</v>
      </c>
      <c r="E36" s="4">
        <v>2</v>
      </c>
      <c r="F36" s="4">
        <v>313</v>
      </c>
      <c r="G36" s="4">
        <v>18234</v>
      </c>
      <c r="H36" s="4">
        <v>9181</v>
      </c>
      <c r="I36" s="4">
        <v>17209</v>
      </c>
      <c r="J36" s="5">
        <v>0</v>
      </c>
      <c r="K36" s="6">
        <v>502.5468705</v>
      </c>
      <c r="L36" s="6">
        <v>503.7387549</v>
      </c>
      <c r="M36" s="6">
        <v>505.38564995999997</v>
      </c>
      <c r="N36" s="6">
        <v>5453.2564514999995</v>
      </c>
      <c r="O36" s="6">
        <v>5454.6626814</v>
      </c>
      <c r="P36" s="6">
        <v>5456.27341041</v>
      </c>
      <c r="Q36" s="6">
        <v>50</v>
      </c>
      <c r="R36" s="6">
        <v>51</v>
      </c>
      <c r="S36" s="6">
        <v>51</v>
      </c>
      <c r="T36" s="6">
        <v>502.6620272271047</v>
      </c>
      <c r="U36" s="6">
        <v>5453.452217267273</v>
      </c>
      <c r="V36" s="6">
        <v>5456.200350650944</v>
      </c>
      <c r="W36" s="4">
        <v>0</v>
      </c>
      <c r="X36" s="4">
        <v>0</v>
      </c>
      <c r="Y36" s="4">
        <v>0</v>
      </c>
      <c r="Z36" s="4" t="s">
        <v>215</v>
      </c>
      <c r="AA36" s="4" t="s">
        <v>216</v>
      </c>
    </row>
    <row r="37" ht="30" customHeight="1" spans="1:27" x14ac:dyDescent="0.25">
      <c r="A37" s="4" t="s">
        <v>146</v>
      </c>
      <c r="B37" s="4" t="s">
        <v>78</v>
      </c>
      <c r="C37" s="4">
        <v>5000</v>
      </c>
      <c r="D37" s="4" t="s">
        <v>79</v>
      </c>
      <c r="E37" s="4">
        <v>3</v>
      </c>
      <c r="F37" s="4">
        <v>313</v>
      </c>
      <c r="G37" s="4">
        <v>18232</v>
      </c>
      <c r="H37" s="4">
        <v>9085</v>
      </c>
      <c r="I37" s="4">
        <v>17207</v>
      </c>
      <c r="J37" s="5">
        <v>0</v>
      </c>
      <c r="K37" s="6">
        <v>502.566244</v>
      </c>
      <c r="L37" s="6">
        <v>503.767935</v>
      </c>
      <c r="M37" s="6">
        <v>505.39537113</v>
      </c>
      <c r="N37" s="6">
        <v>5453.286117</v>
      </c>
      <c r="O37" s="6">
        <v>5454.6740539</v>
      </c>
      <c r="P37" s="6">
        <v>5456.36020337</v>
      </c>
      <c r="Q37" s="6">
        <v>50</v>
      </c>
      <c r="R37" s="6">
        <v>51</v>
      </c>
      <c r="S37" s="6">
        <v>51</v>
      </c>
      <c r="T37" s="6">
        <v>502.6834788663906</v>
      </c>
      <c r="U37" s="6">
        <v>5453.484887692517</v>
      </c>
      <c r="V37" s="6">
        <v>5456.149487998397</v>
      </c>
      <c r="W37" s="4">
        <v>0</v>
      </c>
      <c r="X37" s="4">
        <v>0</v>
      </c>
      <c r="Y37" s="4">
        <v>0</v>
      </c>
      <c r="Z37" s="4" t="s">
        <v>217</v>
      </c>
      <c r="AA37" s="4" t="s">
        <v>218</v>
      </c>
    </row>
    <row r="38" ht="30" customHeight="1" spans="1:27" x14ac:dyDescent="0.25">
      <c r="A38" s="4" t="s">
        <v>146</v>
      </c>
      <c r="B38" s="4" t="s">
        <v>78</v>
      </c>
      <c r="C38" s="4">
        <v>5000</v>
      </c>
      <c r="D38" s="4" t="s">
        <v>79</v>
      </c>
      <c r="E38" s="4">
        <v>4</v>
      </c>
      <c r="F38" s="4">
        <v>313</v>
      </c>
      <c r="G38" s="4">
        <v>18233</v>
      </c>
      <c r="H38" s="4">
        <v>9223</v>
      </c>
      <c r="I38" s="4">
        <v>17208</v>
      </c>
      <c r="J38" s="5">
        <v>0</v>
      </c>
      <c r="K38" s="6">
        <v>502.548938</v>
      </c>
      <c r="L38" s="6">
        <v>503.7559278</v>
      </c>
      <c r="M38" s="6">
        <v>505.3931016</v>
      </c>
      <c r="N38" s="6">
        <v>5453.248484</v>
      </c>
      <c r="O38" s="6">
        <v>5454.657314800001</v>
      </c>
      <c r="P38" s="6">
        <v>5456.30129176</v>
      </c>
      <c r="Q38" s="6">
        <v>50</v>
      </c>
      <c r="R38" s="6">
        <v>51</v>
      </c>
      <c r="S38" s="6">
        <v>51</v>
      </c>
      <c r="T38" s="6">
        <v>502.6166894081056</v>
      </c>
      <c r="U38" s="6">
        <v>5453.41084650195</v>
      </c>
      <c r="V38" s="6">
        <v>5456.135871074757</v>
      </c>
      <c r="W38" s="4">
        <v>0</v>
      </c>
      <c r="X38" s="4">
        <v>0</v>
      </c>
      <c r="Y38" s="4">
        <v>0</v>
      </c>
      <c r="Z38" s="4" t="s">
        <v>219</v>
      </c>
      <c r="AA38" s="4" t="s">
        <v>220</v>
      </c>
    </row>
    <row r="39" ht="30" customHeight="1" spans="1:27" x14ac:dyDescent="0.25">
      <c r="A39" s="4" t="s">
        <v>146</v>
      </c>
      <c r="B39" s="4" t="s">
        <v>78</v>
      </c>
      <c r="C39" s="4">
        <v>5000</v>
      </c>
      <c r="D39" s="4" t="s">
        <v>79</v>
      </c>
      <c r="E39" s="4">
        <v>5</v>
      </c>
      <c r="F39" s="4">
        <v>313</v>
      </c>
      <c r="G39" s="4">
        <v>18234</v>
      </c>
      <c r="H39" s="4">
        <v>9182</v>
      </c>
      <c r="I39" s="4">
        <v>17209</v>
      </c>
      <c r="J39" s="5">
        <v>0</v>
      </c>
      <c r="K39" s="6">
        <v>502.56591349999997</v>
      </c>
      <c r="L39" s="6">
        <v>503.7750209</v>
      </c>
      <c r="M39" s="6">
        <v>505.55287683</v>
      </c>
      <c r="N39" s="6">
        <v>5453.279234</v>
      </c>
      <c r="O39" s="6">
        <v>5454.675569</v>
      </c>
      <c r="P39" s="6">
        <v>5456.42354977</v>
      </c>
      <c r="Q39" s="6">
        <v>50</v>
      </c>
      <c r="R39" s="6">
        <v>51</v>
      </c>
      <c r="S39" s="6">
        <v>51</v>
      </c>
      <c r="T39" s="6">
        <v>502.6617822730574</v>
      </c>
      <c r="U39" s="6">
        <v>5453.453598555705</v>
      </c>
      <c r="V39" s="6">
        <v>5456.148016526817</v>
      </c>
      <c r="W39" s="4">
        <v>0</v>
      </c>
      <c r="X39" s="4">
        <v>0</v>
      </c>
      <c r="Y39" s="4">
        <v>0</v>
      </c>
      <c r="Z39" s="4" t="s">
        <v>221</v>
      </c>
      <c r="AA39" s="4" t="s">
        <v>222</v>
      </c>
    </row>
    <row r="40" ht="30" customHeight="1" spans="1:27" x14ac:dyDescent="0.25">
      <c r="A40" s="4" t="s">
        <v>146</v>
      </c>
      <c r="B40" s="4" t="s">
        <v>78</v>
      </c>
      <c r="C40" s="4">
        <v>5000</v>
      </c>
      <c r="D40" s="4" t="s">
        <v>79</v>
      </c>
      <c r="E40" s="4">
        <v>6</v>
      </c>
      <c r="F40" s="4">
        <v>313</v>
      </c>
      <c r="G40" s="4">
        <v>18235</v>
      </c>
      <c r="H40" s="4">
        <v>9118</v>
      </c>
      <c r="I40" s="4">
        <v>17210</v>
      </c>
      <c r="J40" s="5">
        <v>0</v>
      </c>
      <c r="K40" s="6">
        <v>502.573109</v>
      </c>
      <c r="L40" s="6">
        <v>503.77194560000004</v>
      </c>
      <c r="M40" s="6">
        <v>505.4047052</v>
      </c>
      <c r="N40" s="6">
        <v>5453.28843</v>
      </c>
      <c r="O40" s="6">
        <v>5454.6779916</v>
      </c>
      <c r="P40" s="6">
        <v>5456.41188454</v>
      </c>
      <c r="Q40" s="6">
        <v>50</v>
      </c>
      <c r="R40" s="6">
        <v>51</v>
      </c>
      <c r="S40" s="6">
        <v>51</v>
      </c>
      <c r="T40" s="6">
        <v>502.67283335683715</v>
      </c>
      <c r="U40" s="6">
        <v>5453.480214619313</v>
      </c>
      <c r="V40" s="6">
        <v>5456.23290552711</v>
      </c>
      <c r="W40" s="4">
        <v>0</v>
      </c>
      <c r="X40" s="4">
        <v>0</v>
      </c>
      <c r="Y40" s="4">
        <v>0</v>
      </c>
      <c r="Z40" s="4" t="s">
        <v>223</v>
      </c>
      <c r="AA40" s="4" t="s">
        <v>224</v>
      </c>
    </row>
    <row r="41" ht="30" customHeight="1" spans="1:27" x14ac:dyDescent="0.25">
      <c r="A41" s="4" t="s">
        <v>146</v>
      </c>
      <c r="B41" s="4" t="s">
        <v>78</v>
      </c>
      <c r="C41" s="4">
        <v>5000</v>
      </c>
      <c r="D41" s="4" t="s">
        <v>79</v>
      </c>
      <c r="E41" s="4">
        <v>7</v>
      </c>
      <c r="F41" s="4">
        <v>313</v>
      </c>
      <c r="G41" s="4">
        <v>18234</v>
      </c>
      <c r="H41" s="4">
        <v>9084</v>
      </c>
      <c r="I41" s="4">
        <v>17209</v>
      </c>
      <c r="J41" s="5">
        <v>0</v>
      </c>
      <c r="K41" s="6">
        <v>502.534359</v>
      </c>
      <c r="L41" s="6">
        <v>503.7445889</v>
      </c>
      <c r="M41" s="6">
        <v>505.24388757</v>
      </c>
      <c r="N41" s="6">
        <v>5453.273561</v>
      </c>
      <c r="O41" s="6">
        <v>5454.6484433000005</v>
      </c>
      <c r="P41" s="6">
        <v>5456.3018204</v>
      </c>
      <c r="Q41" s="6">
        <v>50</v>
      </c>
      <c r="R41" s="6">
        <v>51</v>
      </c>
      <c r="S41" s="6">
        <v>51</v>
      </c>
      <c r="T41" s="6">
        <v>502.6335628067884</v>
      </c>
      <c r="U41" s="6">
        <v>5453.450777306526</v>
      </c>
      <c r="V41" s="6">
        <v>5456.148087305101</v>
      </c>
      <c r="W41" s="4">
        <v>0</v>
      </c>
      <c r="X41" s="4">
        <v>0</v>
      </c>
      <c r="Y41" s="4">
        <v>0</v>
      </c>
      <c r="Z41" s="4" t="s">
        <v>225</v>
      </c>
      <c r="AA41" s="4" t="s">
        <v>226</v>
      </c>
    </row>
    <row r="42" ht="30" customHeight="1" spans="1:27" x14ac:dyDescent="0.25">
      <c r="A42" s="4" t="s">
        <v>146</v>
      </c>
      <c r="B42" s="4" t="s">
        <v>78</v>
      </c>
      <c r="C42" s="4">
        <v>5000</v>
      </c>
      <c r="D42" s="4" t="s">
        <v>79</v>
      </c>
      <c r="E42" s="4">
        <v>8</v>
      </c>
      <c r="F42" s="4">
        <v>312</v>
      </c>
      <c r="G42" s="4">
        <v>18175</v>
      </c>
      <c r="H42" s="4">
        <v>9121</v>
      </c>
      <c r="I42" s="4">
        <v>17156</v>
      </c>
      <c r="J42" s="5">
        <v>0</v>
      </c>
      <c r="K42" s="6">
        <v>502.567887</v>
      </c>
      <c r="L42" s="6">
        <v>503.76460000000003</v>
      </c>
      <c r="M42" s="6">
        <v>505.34914306</v>
      </c>
      <c r="N42" s="6">
        <v>5453.280107</v>
      </c>
      <c r="O42" s="6">
        <v>5454.6281956</v>
      </c>
      <c r="P42" s="6">
        <v>5456.2460233599995</v>
      </c>
      <c r="Q42" s="6">
        <v>50</v>
      </c>
      <c r="R42" s="6">
        <v>51</v>
      </c>
      <c r="S42" s="6">
        <v>51</v>
      </c>
      <c r="T42" s="6">
        <v>502.65690545314953</v>
      </c>
      <c r="U42" s="6">
        <v>5453.457177168313</v>
      </c>
      <c r="V42" s="6">
        <v>5456.146661608743</v>
      </c>
      <c r="W42" s="4">
        <v>0</v>
      </c>
      <c r="X42" s="4">
        <v>0</v>
      </c>
      <c r="Y42" s="4">
        <v>0</v>
      </c>
      <c r="Z42" s="4" t="s">
        <v>227</v>
      </c>
      <c r="AA42" s="4" t="s">
        <v>228</v>
      </c>
    </row>
    <row r="43" ht="30" customHeight="1" spans="1:27" x14ac:dyDescent="0.25">
      <c r="A43" s="4" t="s">
        <v>146</v>
      </c>
      <c r="B43" s="4" t="s">
        <v>78</v>
      </c>
      <c r="C43" s="4">
        <v>5000</v>
      </c>
      <c r="D43" s="4" t="s">
        <v>79</v>
      </c>
      <c r="E43" s="4">
        <v>9</v>
      </c>
      <c r="F43" s="4">
        <v>312</v>
      </c>
      <c r="G43" s="4">
        <v>18175</v>
      </c>
      <c r="H43" s="4">
        <v>9185</v>
      </c>
      <c r="I43" s="4">
        <v>17154</v>
      </c>
      <c r="J43" s="5">
        <v>0</v>
      </c>
      <c r="K43" s="6">
        <v>502.553274</v>
      </c>
      <c r="L43" s="6">
        <v>503.7917572</v>
      </c>
      <c r="M43" s="6">
        <v>505.38969196</v>
      </c>
      <c r="N43" s="6">
        <v>5453.251058</v>
      </c>
      <c r="O43" s="6">
        <v>5454.6538786</v>
      </c>
      <c r="P43" s="6">
        <v>5456.34915188</v>
      </c>
      <c r="Q43" s="6">
        <v>50</v>
      </c>
      <c r="R43" s="6">
        <v>51</v>
      </c>
      <c r="S43" s="6">
        <v>51</v>
      </c>
      <c r="T43" s="6">
        <v>502.67226830668676</v>
      </c>
      <c r="U43" s="6">
        <v>5453.453603965429</v>
      </c>
      <c r="V43" s="6">
        <v>5456.1667557591</v>
      </c>
      <c r="W43" s="4">
        <v>0</v>
      </c>
      <c r="X43" s="4">
        <v>0</v>
      </c>
      <c r="Y43" s="4">
        <v>0</v>
      </c>
      <c r="Z43" s="4" t="s">
        <v>229</v>
      </c>
      <c r="AA43" s="4" t="s">
        <v>230</v>
      </c>
    </row>
    <row r="44" ht="30" customHeight="1" spans="1:27" x14ac:dyDescent="0.25">
      <c r="A44" s="4" t="s">
        <v>146</v>
      </c>
      <c r="B44" s="4" t="s">
        <v>78</v>
      </c>
      <c r="C44" s="4">
        <v>5000</v>
      </c>
      <c r="D44" s="4" t="s">
        <v>79</v>
      </c>
      <c r="E44" s="4">
        <v>10</v>
      </c>
      <c r="F44" s="4">
        <v>312</v>
      </c>
      <c r="G44" s="4">
        <v>18175</v>
      </c>
      <c r="H44" s="4">
        <v>9191</v>
      </c>
      <c r="I44" s="4">
        <v>17154</v>
      </c>
      <c r="J44" s="5">
        <v>0</v>
      </c>
      <c r="K44" s="6">
        <v>502.548488</v>
      </c>
      <c r="L44" s="6">
        <v>503.75735879999996</v>
      </c>
      <c r="M44" s="6">
        <v>505.43655521999995</v>
      </c>
      <c r="N44" s="6">
        <v>5453.259899</v>
      </c>
      <c r="O44" s="6">
        <v>5454.620679000001</v>
      </c>
      <c r="P44" s="6">
        <v>5456.22349336</v>
      </c>
      <c r="Q44" s="6">
        <v>50</v>
      </c>
      <c r="R44" s="6">
        <v>51</v>
      </c>
      <c r="S44" s="6">
        <v>51</v>
      </c>
      <c r="T44" s="6">
        <v>502.65384886129317</v>
      </c>
      <c r="U44" s="6">
        <v>5453.452727780544</v>
      </c>
      <c r="V44" s="6">
        <v>5456.177866972636</v>
      </c>
      <c r="W44" s="4">
        <v>0</v>
      </c>
      <c r="X44" s="4">
        <v>0</v>
      </c>
      <c r="Y44" s="4">
        <v>0</v>
      </c>
      <c r="Z44" s="4" t="s">
        <v>231</v>
      </c>
      <c r="AA44" s="4" t="s">
        <v>232</v>
      </c>
    </row>
    <row r="45" ht="30" customHeight="1" spans="1:27" x14ac:dyDescent="0.25">
      <c r="A45" s="4" t="s">
        <v>146</v>
      </c>
      <c r="B45" s="4" t="s">
        <v>78</v>
      </c>
      <c r="C45" s="4">
        <v>5000</v>
      </c>
      <c r="D45" s="4" t="s">
        <v>79</v>
      </c>
      <c r="E45" s="4">
        <v>11</v>
      </c>
      <c r="F45" s="4">
        <v>312</v>
      </c>
      <c r="G45" s="4">
        <v>18177</v>
      </c>
      <c r="H45" s="4">
        <v>9101</v>
      </c>
      <c r="I45" s="4">
        <v>17156</v>
      </c>
      <c r="J45" s="5">
        <v>0</v>
      </c>
      <c r="K45" s="6">
        <v>502.564251</v>
      </c>
      <c r="L45" s="6">
        <v>503.7444218</v>
      </c>
      <c r="M45" s="6">
        <v>505.43854368</v>
      </c>
      <c r="N45" s="6">
        <v>5453.28341</v>
      </c>
      <c r="O45" s="6">
        <v>5454.708314</v>
      </c>
      <c r="P45" s="6">
        <v>5456.40475748</v>
      </c>
      <c r="Q45" s="6">
        <v>50</v>
      </c>
      <c r="R45" s="6">
        <v>51</v>
      </c>
      <c r="S45" s="6">
        <v>51</v>
      </c>
      <c r="T45" s="6">
        <v>502.64341909737766</v>
      </c>
      <c r="U45" s="6">
        <v>5453.468052767475</v>
      </c>
      <c r="V45" s="6">
        <v>5456.223964515401</v>
      </c>
      <c r="W45" s="4">
        <v>0</v>
      </c>
      <c r="X45" s="4">
        <v>0</v>
      </c>
      <c r="Y45" s="4">
        <v>0</v>
      </c>
      <c r="Z45" s="4" t="s">
        <v>233</v>
      </c>
      <c r="AA45" s="4" t="s">
        <v>234</v>
      </c>
    </row>
    <row r="46" ht="30" customHeight="1" spans="1:27" x14ac:dyDescent="0.25">
      <c r="A46" s="4" t="s">
        <v>146</v>
      </c>
      <c r="B46" s="4" t="s">
        <v>78</v>
      </c>
      <c r="C46" s="4">
        <v>5000</v>
      </c>
      <c r="D46" s="4" t="s">
        <v>79</v>
      </c>
      <c r="E46" s="4">
        <v>12</v>
      </c>
      <c r="F46" s="4">
        <v>312</v>
      </c>
      <c r="G46" s="4">
        <v>18177</v>
      </c>
      <c r="H46" s="4">
        <v>9027</v>
      </c>
      <c r="I46" s="4">
        <v>17156</v>
      </c>
      <c r="J46" s="5">
        <v>0</v>
      </c>
      <c r="K46" s="6">
        <v>502.546329</v>
      </c>
      <c r="L46" s="6">
        <v>503.7521842</v>
      </c>
      <c r="M46" s="6">
        <v>505.29964284</v>
      </c>
      <c r="N46" s="6">
        <v>5453.262464</v>
      </c>
      <c r="O46" s="6">
        <v>5454.6595374</v>
      </c>
      <c r="P46" s="6">
        <v>5456.2997485999995</v>
      </c>
      <c r="Q46" s="6">
        <v>50</v>
      </c>
      <c r="R46" s="6">
        <v>51</v>
      </c>
      <c r="S46" s="6">
        <v>51</v>
      </c>
      <c r="T46" s="6">
        <v>502.6148641539827</v>
      </c>
      <c r="U46" s="6">
        <v>5453.433189977827</v>
      </c>
      <c r="V46" s="6">
        <v>5456.126666599199</v>
      </c>
      <c r="W46" s="4">
        <v>0</v>
      </c>
      <c r="X46" s="4">
        <v>0</v>
      </c>
      <c r="Y46" s="4">
        <v>0</v>
      </c>
      <c r="Z46" s="4" t="s">
        <v>235</v>
      </c>
      <c r="AA46" s="4" t="s">
        <v>236</v>
      </c>
    </row>
    <row r="47" ht="30" customHeight="1" spans="1:27" x14ac:dyDescent="0.25">
      <c r="A47" s="4" t="s">
        <v>146</v>
      </c>
      <c r="B47" s="4" t="s">
        <v>78</v>
      </c>
      <c r="C47" s="4">
        <v>5000</v>
      </c>
      <c r="D47" s="4" t="s">
        <v>79</v>
      </c>
      <c r="E47" s="4">
        <v>13</v>
      </c>
      <c r="F47" s="4">
        <v>312</v>
      </c>
      <c r="G47" s="4">
        <v>18174</v>
      </c>
      <c r="H47" s="4">
        <v>9139</v>
      </c>
      <c r="I47" s="4">
        <v>17154</v>
      </c>
      <c r="J47" s="5">
        <v>0</v>
      </c>
      <c r="K47" s="6">
        <v>502.5694525</v>
      </c>
      <c r="L47" s="6">
        <v>503.747268</v>
      </c>
      <c r="M47" s="6">
        <v>505.36229497</v>
      </c>
      <c r="N47" s="6">
        <v>5453.2836905</v>
      </c>
      <c r="O47" s="6">
        <v>5454.620513999999</v>
      </c>
      <c r="P47" s="6">
        <v>5456.30396946</v>
      </c>
      <c r="Q47" s="6">
        <v>50</v>
      </c>
      <c r="R47" s="6">
        <v>51</v>
      </c>
      <c r="S47" s="6">
        <v>51</v>
      </c>
      <c r="T47" s="6">
        <v>502.6843619612627</v>
      </c>
      <c r="U47" s="6">
        <v>5453.490804893632</v>
      </c>
      <c r="V47" s="6">
        <v>5456.183550669782</v>
      </c>
      <c r="W47" s="4">
        <v>0</v>
      </c>
      <c r="X47" s="4">
        <v>0</v>
      </c>
      <c r="Y47" s="4">
        <v>0</v>
      </c>
      <c r="Z47" s="4" t="s">
        <v>237</v>
      </c>
      <c r="AA47" s="4" t="s">
        <v>238</v>
      </c>
    </row>
    <row r="48" ht="30" customHeight="1" spans="1:27" x14ac:dyDescent="0.25">
      <c r="A48" s="4" t="s">
        <v>146</v>
      </c>
      <c r="B48" s="4" t="s">
        <v>78</v>
      </c>
      <c r="C48" s="4">
        <v>5000</v>
      </c>
      <c r="D48" s="4" t="s">
        <v>79</v>
      </c>
      <c r="E48" s="4">
        <v>14</v>
      </c>
      <c r="F48" s="4">
        <v>312</v>
      </c>
      <c r="G48" s="4">
        <v>18175</v>
      </c>
      <c r="H48" s="4">
        <v>9081</v>
      </c>
      <c r="I48" s="4">
        <v>17154</v>
      </c>
      <c r="J48" s="5">
        <v>0</v>
      </c>
      <c r="K48" s="6">
        <v>502.574227</v>
      </c>
      <c r="L48" s="6">
        <v>503.781446</v>
      </c>
      <c r="M48" s="6">
        <v>505.43864484</v>
      </c>
      <c r="N48" s="6">
        <v>5453.283397</v>
      </c>
      <c r="O48" s="6">
        <v>5454.6646782</v>
      </c>
      <c r="P48" s="6">
        <v>5456.31555994</v>
      </c>
      <c r="Q48" s="6">
        <v>50</v>
      </c>
      <c r="R48" s="6">
        <v>51</v>
      </c>
      <c r="S48" s="6">
        <v>51</v>
      </c>
      <c r="T48" s="6">
        <v>502.6480099522416</v>
      </c>
      <c r="U48" s="6">
        <v>5453.445150356102</v>
      </c>
      <c r="V48" s="6">
        <v>5456.11869269158</v>
      </c>
      <c r="W48" s="4">
        <v>0</v>
      </c>
      <c r="X48" s="4">
        <v>0</v>
      </c>
      <c r="Y48" s="4">
        <v>0</v>
      </c>
      <c r="Z48" s="4" t="s">
        <v>239</v>
      </c>
      <c r="AA48" s="4" t="s">
        <v>240</v>
      </c>
    </row>
    <row r="49" ht="30" customHeight="1" spans="1:27" x14ac:dyDescent="0.25">
      <c r="A49" s="4" t="s">
        <v>146</v>
      </c>
      <c r="B49" s="4" t="s">
        <v>78</v>
      </c>
      <c r="C49" s="4">
        <v>5000</v>
      </c>
      <c r="D49" s="4" t="s">
        <v>79</v>
      </c>
      <c r="E49" s="4">
        <v>15</v>
      </c>
      <c r="F49" s="4">
        <v>312</v>
      </c>
      <c r="G49" s="4">
        <v>18175</v>
      </c>
      <c r="H49" s="4">
        <v>9093</v>
      </c>
      <c r="I49" s="4">
        <v>17155</v>
      </c>
      <c r="J49" s="5">
        <v>0</v>
      </c>
      <c r="K49" s="6">
        <v>502.567827</v>
      </c>
      <c r="L49" s="6">
        <v>503.7838902</v>
      </c>
      <c r="M49" s="6">
        <v>505.39385056</v>
      </c>
      <c r="N49" s="6">
        <v>5453.279029</v>
      </c>
      <c r="O49" s="6">
        <v>5454.6969424</v>
      </c>
      <c r="P49" s="6">
        <v>5456.29162078</v>
      </c>
      <c r="Q49" s="6">
        <v>50</v>
      </c>
      <c r="R49" s="6">
        <v>51</v>
      </c>
      <c r="S49" s="6">
        <v>51</v>
      </c>
      <c r="T49" s="6">
        <v>502.68326926828365</v>
      </c>
      <c r="U49" s="6">
        <v>5453.479004491474</v>
      </c>
      <c r="V49" s="6">
        <v>5456.172498979309</v>
      </c>
      <c r="W49" s="4">
        <v>0</v>
      </c>
      <c r="X49" s="4">
        <v>0</v>
      </c>
      <c r="Y49" s="4">
        <v>0</v>
      </c>
      <c r="Z49" s="4" t="s">
        <v>241</v>
      </c>
      <c r="AA49" s="4" t="s">
        <v>242</v>
      </c>
    </row>
    <row r="50" ht="30" customHeight="1" spans="1:27" x14ac:dyDescent="0.25">
      <c r="A50" s="4" t="s">
        <v>146</v>
      </c>
      <c r="B50" s="4" t="s">
        <v>78</v>
      </c>
      <c r="C50" s="4">
        <v>10000</v>
      </c>
      <c r="D50" s="4" t="s">
        <v>79</v>
      </c>
      <c r="E50" s="4">
        <v>0</v>
      </c>
      <c r="F50" s="4">
        <v>625</v>
      </c>
      <c r="G50" s="4">
        <v>36405</v>
      </c>
      <c r="H50" s="4">
        <v>18055</v>
      </c>
      <c r="I50" s="4">
        <v>34361</v>
      </c>
      <c r="J50" s="5">
        <v>0</v>
      </c>
      <c r="K50" s="6">
        <v>502.411355</v>
      </c>
      <c r="L50" s="6">
        <v>503.5862926</v>
      </c>
      <c r="M50" s="6">
        <v>505.3971454</v>
      </c>
      <c r="N50" s="6">
        <v>5453.322423</v>
      </c>
      <c r="O50" s="6">
        <v>5454.6790248</v>
      </c>
      <c r="P50" s="6">
        <v>5456.3794604800005</v>
      </c>
      <c r="Q50" s="6">
        <v>50</v>
      </c>
      <c r="R50" s="6">
        <v>51</v>
      </c>
      <c r="S50" s="6">
        <v>51</v>
      </c>
      <c r="T50" s="6">
        <v>502.53658295480875</v>
      </c>
      <c r="U50" s="6">
        <v>5453.513969698493</v>
      </c>
      <c r="V50" s="6">
        <v>5456.340741295904</v>
      </c>
      <c r="W50" s="4">
        <v>0</v>
      </c>
      <c r="X50" s="4">
        <v>0</v>
      </c>
      <c r="Y50" s="4">
        <v>0</v>
      </c>
      <c r="Z50" s="4" t="s">
        <v>243</v>
      </c>
      <c r="AA50" s="4" t="s">
        <v>244</v>
      </c>
    </row>
    <row r="51" ht="30" customHeight="1" spans="1:27" x14ac:dyDescent="0.25">
      <c r="A51" s="4" t="s">
        <v>146</v>
      </c>
      <c r="B51" s="4" t="s">
        <v>78</v>
      </c>
      <c r="C51" s="4">
        <v>10000</v>
      </c>
      <c r="D51" s="4" t="s">
        <v>79</v>
      </c>
      <c r="E51" s="4">
        <v>1</v>
      </c>
      <c r="F51" s="4">
        <v>625</v>
      </c>
      <c r="G51" s="4">
        <v>36409</v>
      </c>
      <c r="H51" s="4">
        <v>18097</v>
      </c>
      <c r="I51" s="4">
        <v>34364</v>
      </c>
      <c r="J51" s="5">
        <v>0</v>
      </c>
      <c r="K51" s="6">
        <v>502.39537</v>
      </c>
      <c r="L51" s="6">
        <v>503.5459912</v>
      </c>
      <c r="M51" s="6">
        <v>505.34286471999997</v>
      </c>
      <c r="N51" s="6">
        <v>5453.306893</v>
      </c>
      <c r="O51" s="6">
        <v>5454.6755062</v>
      </c>
      <c r="P51" s="6">
        <v>5456.42166536</v>
      </c>
      <c r="Q51" s="6">
        <v>50</v>
      </c>
      <c r="R51" s="6">
        <v>51</v>
      </c>
      <c r="S51" s="6">
        <v>51</v>
      </c>
      <c r="T51" s="6">
        <v>502.4912925740337</v>
      </c>
      <c r="U51" s="6">
        <v>5453.4866466867925</v>
      </c>
      <c r="V51" s="6">
        <v>5456.350763394807</v>
      </c>
      <c r="W51" s="4">
        <v>0</v>
      </c>
      <c r="X51" s="4">
        <v>0</v>
      </c>
      <c r="Y51" s="4">
        <v>0</v>
      </c>
      <c r="Z51" s="4" t="s">
        <v>245</v>
      </c>
      <c r="AA51" s="4" t="s">
        <v>246</v>
      </c>
    </row>
    <row r="52" ht="30" customHeight="1" spans="1:27" x14ac:dyDescent="0.25">
      <c r="A52" s="4" t="s">
        <v>146</v>
      </c>
      <c r="B52" s="4" t="s">
        <v>78</v>
      </c>
      <c r="C52" s="4">
        <v>10000</v>
      </c>
      <c r="D52" s="4" t="s">
        <v>79</v>
      </c>
      <c r="E52" s="4">
        <v>2</v>
      </c>
      <c r="F52" s="4">
        <v>625</v>
      </c>
      <c r="G52" s="4">
        <v>36408</v>
      </c>
      <c r="H52" s="4">
        <v>18144</v>
      </c>
      <c r="I52" s="4">
        <v>34363</v>
      </c>
      <c r="J52" s="5">
        <v>0</v>
      </c>
      <c r="K52" s="6">
        <v>502.409382</v>
      </c>
      <c r="L52" s="6">
        <v>503.5943342</v>
      </c>
      <c r="M52" s="6">
        <v>505.63270454</v>
      </c>
      <c r="N52" s="6">
        <v>5453.3251925</v>
      </c>
      <c r="O52" s="6">
        <v>5454.6843536</v>
      </c>
      <c r="P52" s="6">
        <v>5456.40409343</v>
      </c>
      <c r="Q52" s="6">
        <v>50</v>
      </c>
      <c r="R52" s="6">
        <v>51</v>
      </c>
      <c r="S52" s="6">
        <v>51</v>
      </c>
      <c r="T52" s="6">
        <v>502.53107457954184</v>
      </c>
      <c r="U52" s="6">
        <v>5453.512355753996</v>
      </c>
      <c r="V52" s="6">
        <v>5456.427519865864</v>
      </c>
      <c r="W52" s="4">
        <v>0</v>
      </c>
      <c r="X52" s="4">
        <v>0</v>
      </c>
      <c r="Y52" s="4">
        <v>0</v>
      </c>
      <c r="Z52" s="4" t="s">
        <v>247</v>
      </c>
      <c r="AA52" s="4" t="s">
        <v>248</v>
      </c>
    </row>
    <row r="53" ht="30" customHeight="1" spans="1:27" x14ac:dyDescent="0.25">
      <c r="A53" s="4" t="s">
        <v>146</v>
      </c>
      <c r="B53" s="4" t="s">
        <v>78</v>
      </c>
      <c r="C53" s="4">
        <v>10000</v>
      </c>
      <c r="D53" s="4" t="s">
        <v>79</v>
      </c>
      <c r="E53" s="4">
        <v>3</v>
      </c>
      <c r="F53" s="4">
        <v>625</v>
      </c>
      <c r="G53" s="4">
        <v>36407</v>
      </c>
      <c r="H53" s="4">
        <v>18289</v>
      </c>
      <c r="I53" s="4">
        <v>34362</v>
      </c>
      <c r="J53" s="5">
        <v>0</v>
      </c>
      <c r="K53" s="6">
        <v>502.398478</v>
      </c>
      <c r="L53" s="6">
        <v>503.5710062</v>
      </c>
      <c r="M53" s="6">
        <v>505.48570724</v>
      </c>
      <c r="N53" s="6">
        <v>5453.302854</v>
      </c>
      <c r="O53" s="6">
        <v>5454.6610114</v>
      </c>
      <c r="P53" s="6">
        <v>5456.37159418</v>
      </c>
      <c r="Q53" s="6">
        <v>50</v>
      </c>
      <c r="R53" s="6">
        <v>51</v>
      </c>
      <c r="S53" s="6">
        <v>51</v>
      </c>
      <c r="T53" s="6">
        <v>502.5116401954062</v>
      </c>
      <c r="U53" s="6">
        <v>5453.481565887475</v>
      </c>
      <c r="V53" s="6">
        <v>5456.366528253342</v>
      </c>
      <c r="W53" s="4">
        <v>0</v>
      </c>
      <c r="X53" s="4">
        <v>0</v>
      </c>
      <c r="Y53" s="4">
        <v>0</v>
      </c>
      <c r="Z53" s="4" t="s">
        <v>249</v>
      </c>
      <c r="AA53" s="4" t="s">
        <v>250</v>
      </c>
    </row>
    <row r="54" ht="30" customHeight="1" spans="1:27" x14ac:dyDescent="0.25">
      <c r="A54" s="4" t="s">
        <v>146</v>
      </c>
      <c r="B54" s="4" t="s">
        <v>78</v>
      </c>
      <c r="C54" s="4">
        <v>10000</v>
      </c>
      <c r="D54" s="4" t="s">
        <v>79</v>
      </c>
      <c r="E54" s="4">
        <v>4</v>
      </c>
      <c r="F54" s="4">
        <v>625</v>
      </c>
      <c r="G54" s="4">
        <v>36408</v>
      </c>
      <c r="H54" s="4">
        <v>18138</v>
      </c>
      <c r="I54" s="4">
        <v>34363</v>
      </c>
      <c r="J54" s="5">
        <v>0</v>
      </c>
      <c r="K54" s="6">
        <v>502.4085585</v>
      </c>
      <c r="L54" s="6">
        <v>503.5871241</v>
      </c>
      <c r="M54" s="6">
        <v>505.3890053</v>
      </c>
      <c r="N54" s="6">
        <v>5453.3341165</v>
      </c>
      <c r="O54" s="6">
        <v>5454.6800754</v>
      </c>
      <c r="P54" s="6">
        <v>5456.41996901</v>
      </c>
      <c r="Q54" s="6">
        <v>50</v>
      </c>
      <c r="R54" s="6">
        <v>51</v>
      </c>
      <c r="S54" s="6">
        <v>51</v>
      </c>
      <c r="T54" s="6">
        <v>502.51357482992654</v>
      </c>
      <c r="U54" s="6">
        <v>5453.507178687294</v>
      </c>
      <c r="V54" s="6">
        <v>5456.358071651278</v>
      </c>
      <c r="W54" s="4">
        <v>0</v>
      </c>
      <c r="X54" s="4">
        <v>0</v>
      </c>
      <c r="Y54" s="4">
        <v>0</v>
      </c>
      <c r="Z54" s="4" t="s">
        <v>251</v>
      </c>
      <c r="AA54" s="4" t="s">
        <v>252</v>
      </c>
    </row>
    <row r="55" ht="30" customHeight="1" spans="1:27" x14ac:dyDescent="0.25">
      <c r="A55" s="4" t="s">
        <v>146</v>
      </c>
      <c r="B55" s="4" t="s">
        <v>78</v>
      </c>
      <c r="C55" s="4">
        <v>10000</v>
      </c>
      <c r="D55" s="4" t="s">
        <v>79</v>
      </c>
      <c r="E55" s="4">
        <v>5</v>
      </c>
      <c r="F55" s="4">
        <v>625</v>
      </c>
      <c r="G55" s="4">
        <v>36404</v>
      </c>
      <c r="H55" s="4">
        <v>18225</v>
      </c>
      <c r="I55" s="4">
        <v>34359</v>
      </c>
      <c r="J55" s="5">
        <v>0</v>
      </c>
      <c r="K55" s="6">
        <v>502.399451</v>
      </c>
      <c r="L55" s="6">
        <v>503.5493638</v>
      </c>
      <c r="M55" s="6">
        <v>505.30194938</v>
      </c>
      <c r="N55" s="6">
        <v>5453.323826</v>
      </c>
      <c r="O55" s="6">
        <v>5454.6687501999995</v>
      </c>
      <c r="P55" s="6">
        <v>5456.4013095</v>
      </c>
      <c r="Q55" s="6">
        <v>50</v>
      </c>
      <c r="R55" s="6">
        <v>51</v>
      </c>
      <c r="S55" s="6">
        <v>51</v>
      </c>
      <c r="T55" s="6">
        <v>502.50329059760156</v>
      </c>
      <c r="U55" s="6">
        <v>5453.503278384995</v>
      </c>
      <c r="V55" s="6">
        <v>5456.37837954794</v>
      </c>
      <c r="W55" s="4">
        <v>0</v>
      </c>
      <c r="X55" s="4">
        <v>0</v>
      </c>
      <c r="Y55" s="4">
        <v>0</v>
      </c>
      <c r="Z55" s="4" t="s">
        <v>253</v>
      </c>
      <c r="AA55" s="4" t="s">
        <v>254</v>
      </c>
    </row>
    <row r="56" ht="30" customHeight="1" spans="1:27" x14ac:dyDescent="0.25">
      <c r="A56" s="4" t="s">
        <v>146</v>
      </c>
      <c r="B56" s="4" t="s">
        <v>78</v>
      </c>
      <c r="C56" s="4">
        <v>10000</v>
      </c>
      <c r="D56" s="4" t="s">
        <v>79</v>
      </c>
      <c r="E56" s="4">
        <v>6</v>
      </c>
      <c r="F56" s="4">
        <v>625</v>
      </c>
      <c r="G56" s="4">
        <v>36408</v>
      </c>
      <c r="H56" s="4">
        <v>18259</v>
      </c>
      <c r="I56" s="4">
        <v>34362</v>
      </c>
      <c r="J56" s="5">
        <v>0</v>
      </c>
      <c r="K56" s="6">
        <v>502.3969155</v>
      </c>
      <c r="L56" s="6">
        <v>503.5514012</v>
      </c>
      <c r="M56" s="6">
        <v>505.37040808</v>
      </c>
      <c r="N56" s="6">
        <v>5453.310266500001</v>
      </c>
      <c r="O56" s="6">
        <v>5454.6488303999995</v>
      </c>
      <c r="P56" s="6">
        <v>5456.41291129</v>
      </c>
      <c r="Q56" s="6">
        <v>50</v>
      </c>
      <c r="R56" s="6">
        <v>51</v>
      </c>
      <c r="S56" s="6">
        <v>51</v>
      </c>
      <c r="T56" s="6">
        <v>502.4884306405193</v>
      </c>
      <c r="U56" s="6">
        <v>5453.4752445528675</v>
      </c>
      <c r="V56" s="6">
        <v>5456.33458396626</v>
      </c>
      <c r="W56" s="4">
        <v>0</v>
      </c>
      <c r="X56" s="4">
        <v>0</v>
      </c>
      <c r="Y56" s="4">
        <v>0</v>
      </c>
      <c r="Z56" s="4" t="s">
        <v>255</v>
      </c>
      <c r="AA56" s="4" t="s">
        <v>256</v>
      </c>
    </row>
    <row r="57" ht="30" customHeight="1" spans="1:27" x14ac:dyDescent="0.25">
      <c r="A57" s="4" t="s">
        <v>146</v>
      </c>
      <c r="B57" s="4" t="s">
        <v>78</v>
      </c>
      <c r="C57" s="4">
        <v>10000</v>
      </c>
      <c r="D57" s="4" t="s">
        <v>79</v>
      </c>
      <c r="E57" s="4">
        <v>7</v>
      </c>
      <c r="F57" s="4">
        <v>625</v>
      </c>
      <c r="G57" s="4">
        <v>36408</v>
      </c>
      <c r="H57" s="4">
        <v>18173</v>
      </c>
      <c r="I57" s="4">
        <v>34363</v>
      </c>
      <c r="J57" s="5">
        <v>0</v>
      </c>
      <c r="K57" s="6">
        <v>502.4071</v>
      </c>
      <c r="L57" s="6">
        <v>503.5700105</v>
      </c>
      <c r="M57" s="6">
        <v>505.36966781999996</v>
      </c>
      <c r="N57" s="6">
        <v>5453.3204255</v>
      </c>
      <c r="O57" s="6">
        <v>5454.6789648</v>
      </c>
      <c r="P57" s="6">
        <v>5456.36045964</v>
      </c>
      <c r="Q57" s="6">
        <v>50</v>
      </c>
      <c r="R57" s="6">
        <v>51</v>
      </c>
      <c r="S57" s="6">
        <v>51</v>
      </c>
      <c r="T57" s="6">
        <v>502.5031680149151</v>
      </c>
      <c r="U57" s="6">
        <v>5453.486431941189</v>
      </c>
      <c r="V57" s="6">
        <v>5456.339375512945</v>
      </c>
      <c r="W57" s="4">
        <v>0</v>
      </c>
      <c r="X57" s="4">
        <v>0</v>
      </c>
      <c r="Y57" s="4">
        <v>0</v>
      </c>
      <c r="Z57" s="4" t="s">
        <v>257</v>
      </c>
      <c r="AA57" s="4" t="s">
        <v>258</v>
      </c>
    </row>
    <row r="58" ht="30" customHeight="1" spans="1:27" x14ac:dyDescent="0.25">
      <c r="A58" s="4" t="s">
        <v>146</v>
      </c>
      <c r="B58" s="4" t="s">
        <v>78</v>
      </c>
      <c r="C58" s="4">
        <v>10000</v>
      </c>
      <c r="D58" s="4" t="s">
        <v>79</v>
      </c>
      <c r="E58" s="4">
        <v>8</v>
      </c>
      <c r="F58" s="4">
        <v>625</v>
      </c>
      <c r="G58" s="4">
        <v>36408</v>
      </c>
      <c r="H58" s="4">
        <v>18164</v>
      </c>
      <c r="I58" s="4">
        <v>34364</v>
      </c>
      <c r="J58" s="5">
        <v>0</v>
      </c>
      <c r="K58" s="6">
        <v>502.3898445</v>
      </c>
      <c r="L58" s="6">
        <v>503.5567105</v>
      </c>
      <c r="M58" s="6">
        <v>505.3817504</v>
      </c>
      <c r="N58" s="6">
        <v>5453.3125905</v>
      </c>
      <c r="O58" s="6">
        <v>5454.6718342</v>
      </c>
      <c r="P58" s="6">
        <v>5456.49934905</v>
      </c>
      <c r="Q58" s="6">
        <v>50</v>
      </c>
      <c r="R58" s="6">
        <v>51</v>
      </c>
      <c r="S58" s="6">
        <v>51</v>
      </c>
      <c r="T58" s="6">
        <v>502.48120377051475</v>
      </c>
      <c r="U58" s="6">
        <v>5453.479768772718</v>
      </c>
      <c r="V58" s="6">
        <v>5456.385717733801</v>
      </c>
      <c r="W58" s="4">
        <v>0</v>
      </c>
      <c r="X58" s="4">
        <v>0</v>
      </c>
      <c r="Y58" s="4">
        <v>0</v>
      </c>
      <c r="Z58" s="4" t="s">
        <v>259</v>
      </c>
      <c r="AA58" s="4" t="s">
        <v>260</v>
      </c>
    </row>
    <row r="59" ht="30" customHeight="1" spans="1:27" x14ac:dyDescent="0.25">
      <c r="A59" s="4" t="s">
        <v>146</v>
      </c>
      <c r="B59" s="4" t="s">
        <v>78</v>
      </c>
      <c r="C59" s="4">
        <v>10000</v>
      </c>
      <c r="D59" s="4" t="s">
        <v>79</v>
      </c>
      <c r="E59" s="4">
        <v>9</v>
      </c>
      <c r="F59" s="4">
        <v>625</v>
      </c>
      <c r="G59" s="4">
        <v>36407</v>
      </c>
      <c r="H59" s="4">
        <v>18288</v>
      </c>
      <c r="I59" s="4">
        <v>34362</v>
      </c>
      <c r="J59" s="5">
        <v>0</v>
      </c>
      <c r="K59" s="6">
        <v>502.40273</v>
      </c>
      <c r="L59" s="6">
        <v>503.56769060000005</v>
      </c>
      <c r="M59" s="6">
        <v>505.43825310000005</v>
      </c>
      <c r="N59" s="6">
        <v>5453.331843</v>
      </c>
      <c r="O59" s="6">
        <v>5454.6809274</v>
      </c>
      <c r="P59" s="6">
        <v>5456.51415584</v>
      </c>
      <c r="Q59" s="6">
        <v>50</v>
      </c>
      <c r="R59" s="6">
        <v>51</v>
      </c>
      <c r="S59" s="6">
        <v>51</v>
      </c>
      <c r="T59" s="6">
        <v>502.5211047506547</v>
      </c>
      <c r="U59" s="6">
        <v>5453.527064048884</v>
      </c>
      <c r="V59" s="6">
        <v>5456.406302306097</v>
      </c>
      <c r="W59" s="4">
        <v>0</v>
      </c>
      <c r="X59" s="4">
        <v>0</v>
      </c>
      <c r="Y59" s="4">
        <v>0</v>
      </c>
      <c r="Z59" s="4" t="s">
        <v>261</v>
      </c>
      <c r="AA59" s="4" t="s">
        <v>262</v>
      </c>
    </row>
    <row r="60" ht="30" customHeight="1" spans="1:27" x14ac:dyDescent="0.25">
      <c r="A60" s="4" t="s">
        <v>146</v>
      </c>
      <c r="B60" s="4" t="s">
        <v>78</v>
      </c>
      <c r="C60" s="4">
        <v>10000</v>
      </c>
      <c r="D60" s="4" t="s">
        <v>79</v>
      </c>
      <c r="E60" s="4">
        <v>10</v>
      </c>
      <c r="F60" s="4">
        <v>625</v>
      </c>
      <c r="G60" s="4">
        <v>36405</v>
      </c>
      <c r="H60" s="4">
        <v>18176</v>
      </c>
      <c r="I60" s="4">
        <v>34360</v>
      </c>
      <c r="J60" s="5">
        <v>0</v>
      </c>
      <c r="K60" s="6">
        <v>502.400751</v>
      </c>
      <c r="L60" s="6">
        <v>503.556988</v>
      </c>
      <c r="M60" s="6">
        <v>505.30825464000003</v>
      </c>
      <c r="N60" s="6">
        <v>5453.314014</v>
      </c>
      <c r="O60" s="6">
        <v>5454.6885768</v>
      </c>
      <c r="P60" s="6">
        <v>5456.4574778</v>
      </c>
      <c r="Q60" s="6">
        <v>50</v>
      </c>
      <c r="R60" s="6">
        <v>51</v>
      </c>
      <c r="S60" s="6">
        <v>51</v>
      </c>
      <c r="T60" s="6">
        <v>502.50148110091817</v>
      </c>
      <c r="U60" s="6">
        <v>5453.499797305162</v>
      </c>
      <c r="V60" s="6">
        <v>5456.3783487561</v>
      </c>
      <c r="W60" s="4">
        <v>0</v>
      </c>
      <c r="X60" s="4">
        <v>0</v>
      </c>
      <c r="Y60" s="4">
        <v>0</v>
      </c>
      <c r="Z60" s="4" t="s">
        <v>263</v>
      </c>
      <c r="AA60" s="4" t="s">
        <v>264</v>
      </c>
    </row>
    <row r="61" ht="30" customHeight="1" spans="1:27" x14ac:dyDescent="0.25">
      <c r="A61" s="4" t="s">
        <v>146</v>
      </c>
      <c r="B61" s="4" t="s">
        <v>78</v>
      </c>
      <c r="C61" s="4">
        <v>10000</v>
      </c>
      <c r="D61" s="4" t="s">
        <v>79</v>
      </c>
      <c r="E61" s="4">
        <v>11</v>
      </c>
      <c r="F61" s="4">
        <v>625</v>
      </c>
      <c r="G61" s="4">
        <v>36407</v>
      </c>
      <c r="H61" s="4">
        <v>18217</v>
      </c>
      <c r="I61" s="4">
        <v>34360</v>
      </c>
      <c r="J61" s="5">
        <v>0</v>
      </c>
      <c r="K61" s="6">
        <v>502.398674</v>
      </c>
      <c r="L61" s="6">
        <v>503.549493</v>
      </c>
      <c r="M61" s="6">
        <v>505.26977017999997</v>
      </c>
      <c r="N61" s="6">
        <v>5453.324297</v>
      </c>
      <c r="O61" s="6">
        <v>5454.6849096</v>
      </c>
      <c r="P61" s="6">
        <v>5456.53524864</v>
      </c>
      <c r="Q61" s="6">
        <v>50</v>
      </c>
      <c r="R61" s="6">
        <v>51</v>
      </c>
      <c r="S61" s="6">
        <v>51</v>
      </c>
      <c r="T61" s="6">
        <v>502.5177147235724</v>
      </c>
      <c r="U61" s="6">
        <v>5453.534006734821</v>
      </c>
      <c r="V61" s="6">
        <v>5456.432238817878</v>
      </c>
      <c r="W61" s="4">
        <v>0</v>
      </c>
      <c r="X61" s="4">
        <v>0</v>
      </c>
      <c r="Y61" s="4">
        <v>0</v>
      </c>
      <c r="Z61" s="4" t="s">
        <v>265</v>
      </c>
      <c r="AA61" s="4" t="s">
        <v>266</v>
      </c>
    </row>
    <row r="62" ht="30" customHeight="1" spans="1:27" x14ac:dyDescent="0.25">
      <c r="A62" s="4" t="s">
        <v>146</v>
      </c>
      <c r="B62" s="4" t="s">
        <v>78</v>
      </c>
      <c r="C62" s="4">
        <v>10000</v>
      </c>
      <c r="D62" s="4" t="s">
        <v>79</v>
      </c>
      <c r="E62" s="4">
        <v>12</v>
      </c>
      <c r="F62" s="4">
        <v>625</v>
      </c>
      <c r="G62" s="4">
        <v>36407</v>
      </c>
      <c r="H62" s="4">
        <v>18254</v>
      </c>
      <c r="I62" s="4">
        <v>34365</v>
      </c>
      <c r="J62" s="5">
        <v>0</v>
      </c>
      <c r="K62" s="6">
        <v>502.406644</v>
      </c>
      <c r="L62" s="6">
        <v>503.5826428</v>
      </c>
      <c r="M62" s="6">
        <v>505.35891180000004</v>
      </c>
      <c r="N62" s="6">
        <v>5453.323291</v>
      </c>
      <c r="O62" s="6">
        <v>5454.6954856</v>
      </c>
      <c r="P62" s="6">
        <v>5456.5024296599995</v>
      </c>
      <c r="Q62" s="6">
        <v>50</v>
      </c>
      <c r="R62" s="6">
        <v>51</v>
      </c>
      <c r="S62" s="6">
        <v>51</v>
      </c>
      <c r="T62" s="6">
        <v>502.5097075134458</v>
      </c>
      <c r="U62" s="6">
        <v>5453.510730646516</v>
      </c>
      <c r="V62" s="6">
        <v>5456.378296245415</v>
      </c>
      <c r="W62" s="4">
        <v>0</v>
      </c>
      <c r="X62" s="4">
        <v>0</v>
      </c>
      <c r="Y62" s="4">
        <v>0</v>
      </c>
      <c r="Z62" s="4" t="s">
        <v>267</v>
      </c>
      <c r="AA62" s="4" t="s">
        <v>268</v>
      </c>
    </row>
    <row r="63" ht="30" customHeight="1" spans="1:27" x14ac:dyDescent="0.25">
      <c r="A63" s="4" t="s">
        <v>146</v>
      </c>
      <c r="B63" s="4" t="s">
        <v>78</v>
      </c>
      <c r="C63" s="4">
        <v>10000</v>
      </c>
      <c r="D63" s="4" t="s">
        <v>79</v>
      </c>
      <c r="E63" s="4">
        <v>13</v>
      </c>
      <c r="F63" s="4">
        <v>625</v>
      </c>
      <c r="G63" s="4">
        <v>36407</v>
      </c>
      <c r="H63" s="4">
        <v>18224</v>
      </c>
      <c r="I63" s="4">
        <v>34361</v>
      </c>
      <c r="J63" s="5">
        <v>0</v>
      </c>
      <c r="K63" s="6">
        <v>502.398002</v>
      </c>
      <c r="L63" s="6">
        <v>503.5619638</v>
      </c>
      <c r="M63" s="6">
        <v>505.29695614</v>
      </c>
      <c r="N63" s="6">
        <v>5453.326581</v>
      </c>
      <c r="O63" s="6">
        <v>5454.6843868</v>
      </c>
      <c r="P63" s="6">
        <v>5456.4596243000005</v>
      </c>
      <c r="Q63" s="6">
        <v>50</v>
      </c>
      <c r="R63" s="6">
        <v>51</v>
      </c>
      <c r="S63" s="6">
        <v>51</v>
      </c>
      <c r="T63" s="6">
        <v>502.4961641912843</v>
      </c>
      <c r="U63" s="6">
        <v>5453.512963805492</v>
      </c>
      <c r="V63" s="6">
        <v>5456.377825811717</v>
      </c>
      <c r="W63" s="4">
        <v>0</v>
      </c>
      <c r="X63" s="4">
        <v>0</v>
      </c>
      <c r="Y63" s="4">
        <v>0</v>
      </c>
      <c r="Z63" s="4" t="s">
        <v>269</v>
      </c>
      <c r="AA63" s="4" t="s">
        <v>270</v>
      </c>
    </row>
    <row r="64" ht="30" customHeight="1" spans="1:27" x14ac:dyDescent="0.25">
      <c r="A64" s="4" t="s">
        <v>146</v>
      </c>
      <c r="B64" s="4" t="s">
        <v>78</v>
      </c>
      <c r="C64" s="4">
        <v>10000</v>
      </c>
      <c r="D64" s="4" t="s">
        <v>79</v>
      </c>
      <c r="E64" s="4">
        <v>14</v>
      </c>
      <c r="F64" s="4">
        <v>625</v>
      </c>
      <c r="G64" s="4">
        <v>36405</v>
      </c>
      <c r="H64" s="4">
        <v>18246</v>
      </c>
      <c r="I64" s="4">
        <v>34359</v>
      </c>
      <c r="J64" s="5">
        <v>0</v>
      </c>
      <c r="K64" s="6">
        <v>502.398076</v>
      </c>
      <c r="L64" s="6">
        <v>503.5711722</v>
      </c>
      <c r="M64" s="6">
        <v>505.39116484</v>
      </c>
      <c r="N64" s="6">
        <v>5453.302324</v>
      </c>
      <c r="O64" s="6">
        <v>5454.6862396</v>
      </c>
      <c r="P64" s="6">
        <v>5456.49089196</v>
      </c>
      <c r="Q64" s="6">
        <v>50</v>
      </c>
      <c r="R64" s="6">
        <v>51</v>
      </c>
      <c r="S64" s="6">
        <v>51</v>
      </c>
      <c r="T64" s="6">
        <v>502.4933037148733</v>
      </c>
      <c r="U64" s="6">
        <v>5453.494747527152</v>
      </c>
      <c r="V64" s="6">
        <v>5456.386372200882</v>
      </c>
      <c r="W64" s="4">
        <v>0</v>
      </c>
      <c r="X64" s="4">
        <v>0</v>
      </c>
      <c r="Y64" s="4">
        <v>0</v>
      </c>
      <c r="Z64" s="4" t="s">
        <v>271</v>
      </c>
      <c r="AA64" s="4" t="s">
        <v>272</v>
      </c>
    </row>
    <row r="65" ht="30" customHeight="1" spans="1:27" x14ac:dyDescent="0.25">
      <c r="A65" s="4" t="s">
        <v>146</v>
      </c>
      <c r="B65" s="4" t="s">
        <v>78</v>
      </c>
      <c r="C65" s="4">
        <v>10000</v>
      </c>
      <c r="D65" s="4" t="s">
        <v>79</v>
      </c>
      <c r="E65" s="4">
        <v>15</v>
      </c>
      <c r="F65" s="4">
        <v>625</v>
      </c>
      <c r="G65" s="4">
        <v>36410</v>
      </c>
      <c r="H65" s="4">
        <v>18169</v>
      </c>
      <c r="I65" s="4">
        <v>34364</v>
      </c>
      <c r="J65" s="5">
        <v>0</v>
      </c>
      <c r="K65" s="6">
        <v>502.39475200000004</v>
      </c>
      <c r="L65" s="6">
        <v>503.5472946</v>
      </c>
      <c r="M65" s="6">
        <v>505.28496122999996</v>
      </c>
      <c r="N65" s="6">
        <v>5453.2971175</v>
      </c>
      <c r="O65" s="6">
        <v>5454.6672273</v>
      </c>
      <c r="P65" s="6">
        <v>5456.48878179</v>
      </c>
      <c r="Q65" s="6">
        <v>50</v>
      </c>
      <c r="R65" s="6">
        <v>51</v>
      </c>
      <c r="S65" s="6">
        <v>51</v>
      </c>
      <c r="T65" s="6">
        <v>502.5180538850585</v>
      </c>
      <c r="U65" s="6">
        <v>5453.515416411938</v>
      </c>
      <c r="V65" s="6">
        <v>5456.35597439546</v>
      </c>
      <c r="W65" s="4">
        <v>0</v>
      </c>
      <c r="X65" s="4">
        <v>0</v>
      </c>
      <c r="Y65" s="4">
        <v>0</v>
      </c>
      <c r="Z65" s="4" t="s">
        <v>273</v>
      </c>
      <c r="AA65" s="4" t="s">
        <v>274</v>
      </c>
    </row>
    <row r="66" ht="30" customHeight="1" spans="1:27" x14ac:dyDescent="0.25">
      <c r="A66" s="4" t="s">
        <v>146</v>
      </c>
      <c r="B66" s="4" t="s">
        <v>78</v>
      </c>
      <c r="C66" s="4">
        <v>15000</v>
      </c>
      <c r="D66" s="4" t="s">
        <v>79</v>
      </c>
      <c r="E66" s="4">
        <v>0</v>
      </c>
      <c r="F66" s="4">
        <v>938</v>
      </c>
      <c r="G66" s="4">
        <v>54631</v>
      </c>
      <c r="H66" s="4">
        <v>27405</v>
      </c>
      <c r="I66" s="4">
        <v>51564</v>
      </c>
      <c r="J66" s="5">
        <v>0</v>
      </c>
      <c r="K66" s="6">
        <v>502.385887</v>
      </c>
      <c r="L66" s="6">
        <v>503.609857</v>
      </c>
      <c r="M66" s="6">
        <v>506.1965818</v>
      </c>
      <c r="N66" s="6">
        <v>5453.3874</v>
      </c>
      <c r="O66" s="6">
        <v>5454.775417</v>
      </c>
      <c r="P66" s="6">
        <v>5457.058927800001</v>
      </c>
      <c r="Q66" s="6">
        <v>50</v>
      </c>
      <c r="R66" s="6">
        <v>51</v>
      </c>
      <c r="S66" s="6">
        <v>51</v>
      </c>
      <c r="T66" s="6">
        <v>502.5937672364393</v>
      </c>
      <c r="U66" s="6">
        <v>5453.638838474039</v>
      </c>
      <c r="V66" s="6">
        <v>5456.652937659983</v>
      </c>
      <c r="W66" s="4">
        <v>0</v>
      </c>
      <c r="X66" s="4">
        <v>0</v>
      </c>
      <c r="Y66" s="4">
        <v>0</v>
      </c>
      <c r="Z66" s="4" t="s">
        <v>275</v>
      </c>
      <c r="AA66" s="4" t="s">
        <v>276</v>
      </c>
    </row>
    <row r="67" ht="30" customHeight="1" spans="1:27" x14ac:dyDescent="0.25">
      <c r="A67" s="4" t="s">
        <v>146</v>
      </c>
      <c r="B67" s="4" t="s">
        <v>78</v>
      </c>
      <c r="C67" s="4">
        <v>15000</v>
      </c>
      <c r="D67" s="4" t="s">
        <v>79</v>
      </c>
      <c r="E67" s="4">
        <v>1</v>
      </c>
      <c r="F67" s="4">
        <v>938</v>
      </c>
      <c r="G67" s="4">
        <v>54637</v>
      </c>
      <c r="H67" s="4">
        <v>27052</v>
      </c>
      <c r="I67" s="4">
        <v>51572</v>
      </c>
      <c r="J67" s="5">
        <v>0</v>
      </c>
      <c r="K67" s="6">
        <v>502.389141</v>
      </c>
      <c r="L67" s="6">
        <v>503.6109828</v>
      </c>
      <c r="M67" s="6">
        <v>506.30338228</v>
      </c>
      <c r="N67" s="6">
        <v>5453.400225</v>
      </c>
      <c r="O67" s="6">
        <v>5454.7784942</v>
      </c>
      <c r="P67" s="6">
        <v>5457.09370944</v>
      </c>
      <c r="Q67" s="6">
        <v>50</v>
      </c>
      <c r="R67" s="6">
        <v>51</v>
      </c>
      <c r="S67" s="6">
        <v>51</v>
      </c>
      <c r="T67" s="6">
        <v>502.6382559373304</v>
      </c>
      <c r="U67" s="6">
        <v>5453.6929972204225</v>
      </c>
      <c r="V67" s="6">
        <v>5456.641291480094</v>
      </c>
      <c r="W67" s="4">
        <v>0</v>
      </c>
      <c r="X67" s="4">
        <v>0</v>
      </c>
      <c r="Y67" s="4">
        <v>0</v>
      </c>
      <c r="Z67" s="4" t="s">
        <v>277</v>
      </c>
      <c r="AA67" s="4" t="s">
        <v>278</v>
      </c>
    </row>
    <row r="68" ht="30" customHeight="1" spans="1:27" x14ac:dyDescent="0.25">
      <c r="A68" s="4" t="s">
        <v>146</v>
      </c>
      <c r="B68" s="4" t="s">
        <v>78</v>
      </c>
      <c r="C68" s="4">
        <v>15000</v>
      </c>
      <c r="D68" s="4" t="s">
        <v>79</v>
      </c>
      <c r="E68" s="4">
        <v>2</v>
      </c>
      <c r="F68" s="4">
        <v>938</v>
      </c>
      <c r="G68" s="4">
        <v>54635</v>
      </c>
      <c r="H68" s="4">
        <v>27246</v>
      </c>
      <c r="I68" s="4">
        <v>51568</v>
      </c>
      <c r="J68" s="5">
        <v>0</v>
      </c>
      <c r="K68" s="6">
        <v>502.381007</v>
      </c>
      <c r="L68" s="6">
        <v>503.6053564</v>
      </c>
      <c r="M68" s="6">
        <v>506.20138296</v>
      </c>
      <c r="N68" s="6">
        <v>5453.386749</v>
      </c>
      <c r="O68" s="6">
        <v>5454.7861316</v>
      </c>
      <c r="P68" s="6">
        <v>5457.14544368</v>
      </c>
      <c r="Q68" s="6">
        <v>50</v>
      </c>
      <c r="R68" s="6">
        <v>51</v>
      </c>
      <c r="S68" s="6">
        <v>51</v>
      </c>
      <c r="T68" s="6">
        <v>502.6096042548004</v>
      </c>
      <c r="U68" s="6">
        <v>5453.664560450149</v>
      </c>
      <c r="V68" s="6">
        <v>5456.617939543977</v>
      </c>
      <c r="W68" s="4">
        <v>0</v>
      </c>
      <c r="X68" s="4">
        <v>0</v>
      </c>
      <c r="Y68" s="4">
        <v>0</v>
      </c>
      <c r="Z68" s="4" t="s">
        <v>279</v>
      </c>
      <c r="AA68" s="4" t="s">
        <v>280</v>
      </c>
    </row>
    <row r="69" ht="30" customHeight="1" spans="1:27" x14ac:dyDescent="0.25">
      <c r="A69" s="4" t="s">
        <v>146</v>
      </c>
      <c r="B69" s="4" t="s">
        <v>78</v>
      </c>
      <c r="C69" s="4">
        <v>15000</v>
      </c>
      <c r="D69" s="4" t="s">
        <v>79</v>
      </c>
      <c r="E69" s="4">
        <v>3</v>
      </c>
      <c r="F69" s="4">
        <v>938</v>
      </c>
      <c r="G69" s="4">
        <v>54636</v>
      </c>
      <c r="H69" s="4">
        <v>27057</v>
      </c>
      <c r="I69" s="4">
        <v>51566</v>
      </c>
      <c r="J69" s="5">
        <v>0</v>
      </c>
      <c r="K69" s="6">
        <v>502.399686</v>
      </c>
      <c r="L69" s="6">
        <v>503.619075</v>
      </c>
      <c r="M69" s="6">
        <v>506.26054125</v>
      </c>
      <c r="N69" s="6">
        <v>5453.3973</v>
      </c>
      <c r="O69" s="6">
        <v>5454.7972885</v>
      </c>
      <c r="P69" s="6">
        <v>5457.1964041</v>
      </c>
      <c r="Q69" s="6">
        <v>50</v>
      </c>
      <c r="R69" s="6">
        <v>51</v>
      </c>
      <c r="S69" s="6">
        <v>51</v>
      </c>
      <c r="T69" s="6">
        <v>502.6049608204079</v>
      </c>
      <c r="U69" s="6">
        <v>5453.660771580572</v>
      </c>
      <c r="V69" s="6">
        <v>5456.604298226636</v>
      </c>
      <c r="W69" s="4">
        <v>0</v>
      </c>
      <c r="X69" s="4">
        <v>0</v>
      </c>
      <c r="Y69" s="4">
        <v>0</v>
      </c>
      <c r="Z69" s="4" t="s">
        <v>281</v>
      </c>
      <c r="AA69" s="4" t="s">
        <v>282</v>
      </c>
    </row>
    <row r="70" ht="30" customHeight="1" spans="1:27" x14ac:dyDescent="0.25">
      <c r="A70" s="4" t="s">
        <v>146</v>
      </c>
      <c r="B70" s="4" t="s">
        <v>78</v>
      </c>
      <c r="C70" s="4">
        <v>15000</v>
      </c>
      <c r="D70" s="4" t="s">
        <v>79</v>
      </c>
      <c r="E70" s="4">
        <v>4</v>
      </c>
      <c r="F70" s="4">
        <v>938</v>
      </c>
      <c r="G70" s="4">
        <v>54632</v>
      </c>
      <c r="H70" s="4">
        <v>27371</v>
      </c>
      <c r="I70" s="4">
        <v>51564</v>
      </c>
      <c r="J70" s="5">
        <v>0</v>
      </c>
      <c r="K70" s="6">
        <v>502.40129</v>
      </c>
      <c r="L70" s="6">
        <v>503.62665849999996</v>
      </c>
      <c r="M70" s="6">
        <v>506.31887458</v>
      </c>
      <c r="N70" s="6">
        <v>5453.4116335</v>
      </c>
      <c r="O70" s="6">
        <v>5454.826114</v>
      </c>
      <c r="P70" s="6">
        <v>5457.36299778</v>
      </c>
      <c r="Q70" s="6">
        <v>50</v>
      </c>
      <c r="R70" s="6">
        <v>51</v>
      </c>
      <c r="S70" s="6">
        <v>51</v>
      </c>
      <c r="T70" s="6">
        <v>502.6209167407512</v>
      </c>
      <c r="U70" s="6">
        <v>5453.695025539227</v>
      </c>
      <c r="V70" s="6">
        <v>5456.705819701416</v>
      </c>
      <c r="W70" s="4">
        <v>0</v>
      </c>
      <c r="X70" s="4">
        <v>0</v>
      </c>
      <c r="Y70" s="4">
        <v>0</v>
      </c>
      <c r="Z70" s="4" t="s">
        <v>283</v>
      </c>
      <c r="AA70" s="4" t="s">
        <v>284</v>
      </c>
    </row>
    <row r="71" ht="30" customHeight="1" spans="1:27" x14ac:dyDescent="0.25">
      <c r="A71" s="4" t="s">
        <v>146</v>
      </c>
      <c r="B71" s="4" t="s">
        <v>78</v>
      </c>
      <c r="C71" s="4">
        <v>15000</v>
      </c>
      <c r="D71" s="4" t="s">
        <v>79</v>
      </c>
      <c r="E71" s="4">
        <v>5</v>
      </c>
      <c r="F71" s="4">
        <v>938</v>
      </c>
      <c r="G71" s="4">
        <v>54633</v>
      </c>
      <c r="H71" s="4">
        <v>27321</v>
      </c>
      <c r="I71" s="4">
        <v>51567</v>
      </c>
      <c r="J71" s="5">
        <v>0</v>
      </c>
      <c r="K71" s="6">
        <v>502.40215</v>
      </c>
      <c r="L71" s="6">
        <v>503.62815980000005</v>
      </c>
      <c r="M71" s="6">
        <v>506.4273486</v>
      </c>
      <c r="N71" s="6">
        <v>5453.415058</v>
      </c>
      <c r="O71" s="6">
        <v>5454.824938</v>
      </c>
      <c r="P71" s="6">
        <v>5457.33742048</v>
      </c>
      <c r="Q71" s="6">
        <v>50</v>
      </c>
      <c r="R71" s="6">
        <v>51</v>
      </c>
      <c r="S71" s="6">
        <v>51</v>
      </c>
      <c r="T71" s="6">
        <v>502.61042919363797</v>
      </c>
      <c r="U71" s="6">
        <v>5453.683419745838</v>
      </c>
      <c r="V71" s="6">
        <v>5456.71989781966</v>
      </c>
      <c r="W71" s="4">
        <v>0</v>
      </c>
      <c r="X71" s="4">
        <v>0</v>
      </c>
      <c r="Y71" s="4">
        <v>0</v>
      </c>
      <c r="Z71" s="4" t="s">
        <v>285</v>
      </c>
      <c r="AA71" s="4" t="s">
        <v>286</v>
      </c>
    </row>
    <row r="72" ht="30" customHeight="1" spans="1:27" x14ac:dyDescent="0.25">
      <c r="A72" s="4" t="s">
        <v>146</v>
      </c>
      <c r="B72" s="4" t="s">
        <v>78</v>
      </c>
      <c r="C72" s="4">
        <v>15000</v>
      </c>
      <c r="D72" s="4" t="s">
        <v>79</v>
      </c>
      <c r="E72" s="4">
        <v>6</v>
      </c>
      <c r="F72" s="4">
        <v>938</v>
      </c>
      <c r="G72" s="4">
        <v>54636</v>
      </c>
      <c r="H72" s="4">
        <v>27300</v>
      </c>
      <c r="I72" s="4">
        <v>51567</v>
      </c>
      <c r="J72" s="5">
        <v>0</v>
      </c>
      <c r="K72" s="6">
        <v>502.397643</v>
      </c>
      <c r="L72" s="6">
        <v>503.606767</v>
      </c>
      <c r="M72" s="6">
        <v>506.2205594</v>
      </c>
      <c r="N72" s="6">
        <v>5453.409213</v>
      </c>
      <c r="O72" s="6">
        <v>5454.8000155</v>
      </c>
      <c r="P72" s="6">
        <v>5457.4275053500005</v>
      </c>
      <c r="Q72" s="6">
        <v>50</v>
      </c>
      <c r="R72" s="6">
        <v>51</v>
      </c>
      <c r="S72" s="6">
        <v>51</v>
      </c>
      <c r="T72" s="6">
        <v>502.64011562090934</v>
      </c>
      <c r="U72" s="6">
        <v>5453.723514237759</v>
      </c>
      <c r="V72" s="6">
        <v>5456.701219655004</v>
      </c>
      <c r="W72" s="4">
        <v>0</v>
      </c>
      <c r="X72" s="4">
        <v>0</v>
      </c>
      <c r="Y72" s="4">
        <v>0</v>
      </c>
      <c r="Z72" s="4" t="s">
        <v>287</v>
      </c>
      <c r="AA72" s="4" t="s">
        <v>288</v>
      </c>
    </row>
    <row r="73" ht="30" customHeight="1" spans="1:27" x14ac:dyDescent="0.25">
      <c r="A73" s="4" t="s">
        <v>146</v>
      </c>
      <c r="B73" s="4" t="s">
        <v>78</v>
      </c>
      <c r="C73" s="4">
        <v>15000</v>
      </c>
      <c r="D73" s="4" t="s">
        <v>79</v>
      </c>
      <c r="E73" s="4">
        <v>7</v>
      </c>
      <c r="F73" s="4">
        <v>938</v>
      </c>
      <c r="G73" s="4">
        <v>54634</v>
      </c>
      <c r="H73" s="4">
        <v>27292</v>
      </c>
      <c r="I73" s="4">
        <v>51565</v>
      </c>
      <c r="J73" s="5">
        <v>0</v>
      </c>
      <c r="K73" s="6">
        <v>502.369801</v>
      </c>
      <c r="L73" s="6">
        <v>503.58823370000005</v>
      </c>
      <c r="M73" s="6">
        <v>506.15586392</v>
      </c>
      <c r="N73" s="6">
        <v>5453.382438500001</v>
      </c>
      <c r="O73" s="6">
        <v>5454.7752136</v>
      </c>
      <c r="P73" s="6">
        <v>5457.27273888</v>
      </c>
      <c r="Q73" s="6">
        <v>50</v>
      </c>
      <c r="R73" s="6">
        <v>51</v>
      </c>
      <c r="S73" s="6">
        <v>51</v>
      </c>
      <c r="T73" s="6">
        <v>502.58878801351034</v>
      </c>
      <c r="U73" s="6">
        <v>5453.653914233769</v>
      </c>
      <c r="V73" s="6">
        <v>5456.628278329671</v>
      </c>
      <c r="W73" s="4">
        <v>0</v>
      </c>
      <c r="X73" s="4">
        <v>0</v>
      </c>
      <c r="Y73" s="4">
        <v>0</v>
      </c>
      <c r="Z73" s="4" t="s">
        <v>289</v>
      </c>
      <c r="AA73" s="4" t="s">
        <v>290</v>
      </c>
    </row>
    <row r="74" ht="30" customHeight="1" spans="1:27" x14ac:dyDescent="0.25">
      <c r="A74" s="4" t="s">
        <v>146</v>
      </c>
      <c r="B74" s="4" t="s">
        <v>78</v>
      </c>
      <c r="C74" s="4">
        <v>15000</v>
      </c>
      <c r="D74" s="4" t="s">
        <v>79</v>
      </c>
      <c r="E74" s="4">
        <v>8</v>
      </c>
      <c r="F74" s="4">
        <v>937</v>
      </c>
      <c r="G74" s="4">
        <v>54578</v>
      </c>
      <c r="H74" s="4">
        <v>27431</v>
      </c>
      <c r="I74" s="4">
        <v>51513</v>
      </c>
      <c r="J74" s="5">
        <v>0</v>
      </c>
      <c r="K74" s="6">
        <v>502.39063450000003</v>
      </c>
      <c r="L74" s="6">
        <v>503.61081210000003</v>
      </c>
      <c r="M74" s="6">
        <v>506.36172479</v>
      </c>
      <c r="N74" s="6">
        <v>5453.3851245000005</v>
      </c>
      <c r="O74" s="6">
        <v>5454.7699086</v>
      </c>
      <c r="P74" s="6">
        <v>5457.23385975</v>
      </c>
      <c r="Q74" s="6">
        <v>50</v>
      </c>
      <c r="R74" s="6">
        <v>51</v>
      </c>
      <c r="S74" s="6">
        <v>51</v>
      </c>
      <c r="T74" s="6">
        <v>502.59717719802586</v>
      </c>
      <c r="U74" s="6">
        <v>5453.646102888303</v>
      </c>
      <c r="V74" s="6">
        <v>5456.676888814897</v>
      </c>
      <c r="W74" s="4">
        <v>0</v>
      </c>
      <c r="X74" s="4">
        <v>0</v>
      </c>
      <c r="Y74" s="4">
        <v>0</v>
      </c>
      <c r="Z74" s="4" t="s">
        <v>291</v>
      </c>
      <c r="AA74" s="4" t="s">
        <v>292</v>
      </c>
    </row>
    <row r="75" ht="30" customHeight="1" spans="1:27" x14ac:dyDescent="0.25">
      <c r="A75" s="4" t="s">
        <v>146</v>
      </c>
      <c r="B75" s="4" t="s">
        <v>78</v>
      </c>
      <c r="C75" s="4">
        <v>15000</v>
      </c>
      <c r="D75" s="4" t="s">
        <v>79</v>
      </c>
      <c r="E75" s="4">
        <v>9</v>
      </c>
      <c r="F75" s="4">
        <v>937</v>
      </c>
      <c r="G75" s="4">
        <v>54579</v>
      </c>
      <c r="H75" s="4">
        <v>27200</v>
      </c>
      <c r="I75" s="4">
        <v>51515</v>
      </c>
      <c r="J75" s="5">
        <v>0</v>
      </c>
      <c r="K75" s="6">
        <v>502.38209</v>
      </c>
      <c r="L75" s="6">
        <v>503.5949686</v>
      </c>
      <c r="M75" s="6">
        <v>506.27705738000003</v>
      </c>
      <c r="N75" s="6">
        <v>5453.383638</v>
      </c>
      <c r="O75" s="6">
        <v>5454.7808482</v>
      </c>
      <c r="P75" s="6">
        <v>5457.28881268</v>
      </c>
      <c r="Q75" s="6">
        <v>50</v>
      </c>
      <c r="R75" s="6">
        <v>51</v>
      </c>
      <c r="S75" s="6">
        <v>51</v>
      </c>
      <c r="T75" s="6">
        <v>502.6386278184131</v>
      </c>
      <c r="U75" s="6">
        <v>5453.700158461075</v>
      </c>
      <c r="V75" s="6">
        <v>5456.676795562676</v>
      </c>
      <c r="W75" s="4">
        <v>0</v>
      </c>
      <c r="X75" s="4">
        <v>0</v>
      </c>
      <c r="Y75" s="4">
        <v>0</v>
      </c>
      <c r="Z75" s="4" t="s">
        <v>293</v>
      </c>
      <c r="AA75" s="4" t="s">
        <v>294</v>
      </c>
    </row>
    <row r="76" ht="30" customHeight="1" spans="1:27" x14ac:dyDescent="0.25">
      <c r="A76" s="4" t="s">
        <v>146</v>
      </c>
      <c r="B76" s="4" t="s">
        <v>78</v>
      </c>
      <c r="C76" s="4">
        <v>15000</v>
      </c>
      <c r="D76" s="4" t="s">
        <v>79</v>
      </c>
      <c r="E76" s="4">
        <v>10</v>
      </c>
      <c r="F76" s="4">
        <v>937</v>
      </c>
      <c r="G76" s="4">
        <v>54577</v>
      </c>
      <c r="H76" s="4">
        <v>27358</v>
      </c>
      <c r="I76" s="4">
        <v>51511</v>
      </c>
      <c r="J76" s="5">
        <v>0</v>
      </c>
      <c r="K76" s="6">
        <v>502.401763</v>
      </c>
      <c r="L76" s="6">
        <v>503.643047</v>
      </c>
      <c r="M76" s="6">
        <v>506.42263268</v>
      </c>
      <c r="N76" s="6">
        <v>5453.41357</v>
      </c>
      <c r="O76" s="6">
        <v>5454.824461</v>
      </c>
      <c r="P76" s="6">
        <v>5457.40545648</v>
      </c>
      <c r="Q76" s="6">
        <v>50</v>
      </c>
      <c r="R76" s="6">
        <v>51</v>
      </c>
      <c r="S76" s="6">
        <v>51</v>
      </c>
      <c r="T76" s="6">
        <v>502.6122415972141</v>
      </c>
      <c r="U76" s="6">
        <v>5453.680629407489</v>
      </c>
      <c r="V76" s="6">
        <v>5456.71944435847</v>
      </c>
      <c r="W76" s="4">
        <v>0</v>
      </c>
      <c r="X76" s="4">
        <v>0</v>
      </c>
      <c r="Y76" s="4">
        <v>0</v>
      </c>
      <c r="Z76" s="4" t="s">
        <v>295</v>
      </c>
      <c r="AA76" s="4" t="s">
        <v>296</v>
      </c>
    </row>
    <row r="77" ht="30" customHeight="1" spans="1:27" x14ac:dyDescent="0.25">
      <c r="A77" s="4" t="s">
        <v>146</v>
      </c>
      <c r="B77" s="4" t="s">
        <v>78</v>
      </c>
      <c r="C77" s="4">
        <v>15000</v>
      </c>
      <c r="D77" s="4" t="s">
        <v>79</v>
      </c>
      <c r="E77" s="4">
        <v>11</v>
      </c>
      <c r="F77" s="4">
        <v>937</v>
      </c>
      <c r="G77" s="4">
        <v>54579</v>
      </c>
      <c r="H77" s="4">
        <v>27246</v>
      </c>
      <c r="I77" s="4">
        <v>51516</v>
      </c>
      <c r="J77" s="5">
        <v>0</v>
      </c>
      <c r="K77" s="6">
        <v>502.382655</v>
      </c>
      <c r="L77" s="6">
        <v>503.6041428</v>
      </c>
      <c r="M77" s="6">
        <v>506.2479156</v>
      </c>
      <c r="N77" s="6">
        <v>5453.382938</v>
      </c>
      <c r="O77" s="6">
        <v>5454.7833094</v>
      </c>
      <c r="P77" s="6">
        <v>5457.46093382</v>
      </c>
      <c r="Q77" s="6">
        <v>50</v>
      </c>
      <c r="R77" s="6">
        <v>51</v>
      </c>
      <c r="S77" s="6">
        <v>51</v>
      </c>
      <c r="T77" s="6">
        <v>502.59646218562096</v>
      </c>
      <c r="U77" s="6">
        <v>5453.663971420571</v>
      </c>
      <c r="V77" s="6">
        <v>5456.651116826365</v>
      </c>
      <c r="W77" s="4">
        <v>0</v>
      </c>
      <c r="X77" s="4">
        <v>0</v>
      </c>
      <c r="Y77" s="4">
        <v>0</v>
      </c>
      <c r="Z77" s="4" t="s">
        <v>297</v>
      </c>
      <c r="AA77" s="4" t="s">
        <v>298</v>
      </c>
    </row>
    <row r="78" ht="30" customHeight="1" spans="1:27" x14ac:dyDescent="0.25">
      <c r="A78" s="4" t="s">
        <v>146</v>
      </c>
      <c r="B78" s="4" t="s">
        <v>78</v>
      </c>
      <c r="C78" s="4">
        <v>15000</v>
      </c>
      <c r="D78" s="4" t="s">
        <v>79</v>
      </c>
      <c r="E78" s="4">
        <v>12</v>
      </c>
      <c r="F78" s="4">
        <v>937</v>
      </c>
      <c r="G78" s="4">
        <v>54576</v>
      </c>
      <c r="H78" s="4">
        <v>27335</v>
      </c>
      <c r="I78" s="4">
        <v>51512</v>
      </c>
      <c r="J78" s="5">
        <v>0</v>
      </c>
      <c r="K78" s="6">
        <v>502.4004735</v>
      </c>
      <c r="L78" s="6">
        <v>503.592482</v>
      </c>
      <c r="M78" s="6">
        <v>506.08591075000004</v>
      </c>
      <c r="N78" s="6">
        <v>5453.394759</v>
      </c>
      <c r="O78" s="6">
        <v>5454.796504</v>
      </c>
      <c r="P78" s="6">
        <v>5457.2714225</v>
      </c>
      <c r="Q78" s="6">
        <v>50</v>
      </c>
      <c r="R78" s="6">
        <v>51</v>
      </c>
      <c r="S78" s="6">
        <v>51</v>
      </c>
      <c r="T78" s="6">
        <v>502.6341460097635</v>
      </c>
      <c r="U78" s="6">
        <v>5453.712717870116</v>
      </c>
      <c r="V78" s="6">
        <v>5456.687334890391</v>
      </c>
      <c r="W78" s="4">
        <v>0</v>
      </c>
      <c r="X78" s="4">
        <v>0</v>
      </c>
      <c r="Y78" s="4">
        <v>0</v>
      </c>
      <c r="Z78" s="4" t="s">
        <v>299</v>
      </c>
      <c r="AA78" s="4" t="s">
        <v>300</v>
      </c>
    </row>
    <row r="79" ht="30" customHeight="1" spans="1:27" x14ac:dyDescent="0.25">
      <c r="A79" s="4" t="s">
        <v>146</v>
      </c>
      <c r="B79" s="4" t="s">
        <v>78</v>
      </c>
      <c r="C79" s="4">
        <v>15000</v>
      </c>
      <c r="D79" s="4" t="s">
        <v>79</v>
      </c>
      <c r="E79" s="4">
        <v>13</v>
      </c>
      <c r="F79" s="4">
        <v>937</v>
      </c>
      <c r="G79" s="4">
        <v>54579</v>
      </c>
      <c r="H79" s="4">
        <v>27434</v>
      </c>
      <c r="I79" s="4">
        <v>51514</v>
      </c>
      <c r="J79" s="5">
        <v>0</v>
      </c>
      <c r="K79" s="6">
        <v>502.377404</v>
      </c>
      <c r="L79" s="6">
        <v>503.5984072</v>
      </c>
      <c r="M79" s="6">
        <v>506.2768027</v>
      </c>
      <c r="N79" s="6">
        <v>5453.386783</v>
      </c>
      <c r="O79" s="6">
        <v>5454.7896558</v>
      </c>
      <c r="P79" s="6">
        <v>5457.4155654999995</v>
      </c>
      <c r="Q79" s="6">
        <v>50</v>
      </c>
      <c r="R79" s="6">
        <v>51</v>
      </c>
      <c r="S79" s="6">
        <v>51</v>
      </c>
      <c r="T79" s="6">
        <v>502.5591292038186</v>
      </c>
      <c r="U79" s="6">
        <v>5453.633665627276</v>
      </c>
      <c r="V79" s="6">
        <v>5456.622694677904</v>
      </c>
      <c r="W79" s="4">
        <v>0</v>
      </c>
      <c r="X79" s="4">
        <v>0</v>
      </c>
      <c r="Y79" s="4">
        <v>0</v>
      </c>
      <c r="Z79" s="4" t="s">
        <v>301</v>
      </c>
      <c r="AA79" s="4" t="s">
        <v>302</v>
      </c>
    </row>
    <row r="80" ht="30" customHeight="1" spans="1:27" x14ac:dyDescent="0.25">
      <c r="A80" s="4" t="s">
        <v>146</v>
      </c>
      <c r="B80" s="4" t="s">
        <v>78</v>
      </c>
      <c r="C80" s="4">
        <v>15000</v>
      </c>
      <c r="D80" s="4" t="s">
        <v>79</v>
      </c>
      <c r="E80" s="4">
        <v>14</v>
      </c>
      <c r="F80" s="4">
        <v>937</v>
      </c>
      <c r="G80" s="4">
        <v>54577</v>
      </c>
      <c r="H80" s="4">
        <v>27179</v>
      </c>
      <c r="I80" s="4">
        <v>51512</v>
      </c>
      <c r="J80" s="5">
        <v>0</v>
      </c>
      <c r="K80" s="6">
        <v>502.401165</v>
      </c>
      <c r="L80" s="6">
        <v>503.6117278</v>
      </c>
      <c r="M80" s="6">
        <v>506.21018792</v>
      </c>
      <c r="N80" s="6">
        <v>5453.404955</v>
      </c>
      <c r="O80" s="6">
        <v>5454.8142498</v>
      </c>
      <c r="P80" s="6">
        <v>5457.31901748</v>
      </c>
      <c r="Q80" s="6">
        <v>50</v>
      </c>
      <c r="R80" s="6">
        <v>51</v>
      </c>
      <c r="S80" s="6">
        <v>51</v>
      </c>
      <c r="T80" s="6">
        <v>502.61155596463857</v>
      </c>
      <c r="U80" s="6">
        <v>5453.6936739194525</v>
      </c>
      <c r="V80" s="6">
        <v>5456.68798257863</v>
      </c>
      <c r="W80" s="4">
        <v>0</v>
      </c>
      <c r="X80" s="4">
        <v>0</v>
      </c>
      <c r="Y80" s="4">
        <v>0</v>
      </c>
      <c r="Z80" s="4" t="s">
        <v>303</v>
      </c>
      <c r="AA80" s="4" t="s">
        <v>304</v>
      </c>
    </row>
    <row r="81" ht="30" customHeight="1" spans="1:27" x14ac:dyDescent="0.25">
      <c r="A81" s="4" t="s">
        <v>146</v>
      </c>
      <c r="B81" s="4" t="s">
        <v>78</v>
      </c>
      <c r="C81" s="4">
        <v>15000</v>
      </c>
      <c r="D81" s="4" t="s">
        <v>79</v>
      </c>
      <c r="E81" s="4">
        <v>15</v>
      </c>
      <c r="F81" s="4">
        <v>937</v>
      </c>
      <c r="G81" s="4">
        <v>54581</v>
      </c>
      <c r="H81" s="4">
        <v>27268</v>
      </c>
      <c r="I81" s="4">
        <v>51515</v>
      </c>
      <c r="J81" s="5">
        <v>0</v>
      </c>
      <c r="K81" s="6">
        <v>502.379022</v>
      </c>
      <c r="L81" s="6">
        <v>503.601199</v>
      </c>
      <c r="M81" s="6">
        <v>506.2095488</v>
      </c>
      <c r="N81" s="6">
        <v>5453.380132</v>
      </c>
      <c r="O81" s="6">
        <v>5454.795268</v>
      </c>
      <c r="P81" s="6">
        <v>5457.3989114000005</v>
      </c>
      <c r="Q81" s="6">
        <v>50</v>
      </c>
      <c r="R81" s="6">
        <v>51</v>
      </c>
      <c r="S81" s="6">
        <v>51</v>
      </c>
      <c r="T81" s="6">
        <v>502.60749209812906</v>
      </c>
      <c r="U81" s="6">
        <v>5453.677690807335</v>
      </c>
      <c r="V81" s="6">
        <v>5456.651925986865</v>
      </c>
      <c r="W81" s="4">
        <v>0</v>
      </c>
      <c r="X81" s="4">
        <v>0</v>
      </c>
      <c r="Y81" s="4">
        <v>0</v>
      </c>
      <c r="Z81" s="4" t="s">
        <v>305</v>
      </c>
      <c r="AA81" s="4" t="s">
        <v>306</v>
      </c>
    </row>
    <row r="82" ht="30" customHeight="1" spans="1:27" x14ac:dyDescent="0.25">
      <c r="A82" s="4" t="s">
        <v>146</v>
      </c>
      <c r="B82" s="4" t="s">
        <v>78</v>
      </c>
      <c r="C82" s="4">
        <v>18000</v>
      </c>
      <c r="D82" s="4" t="s">
        <v>79</v>
      </c>
      <c r="E82" s="4">
        <v>0</v>
      </c>
      <c r="F82" s="4">
        <v>1125</v>
      </c>
      <c r="G82" s="4">
        <v>65521</v>
      </c>
      <c r="H82" s="4">
        <v>32839</v>
      </c>
      <c r="I82" s="4">
        <v>61841</v>
      </c>
      <c r="J82" s="5">
        <v>0</v>
      </c>
      <c r="K82" s="6">
        <v>502.380033</v>
      </c>
      <c r="L82" s="6">
        <v>503.565117</v>
      </c>
      <c r="M82" s="6">
        <v>509.5211176</v>
      </c>
      <c r="N82" s="6">
        <v>5453.456168</v>
      </c>
      <c r="O82" s="6">
        <v>5454.819312</v>
      </c>
      <c r="P82" s="6">
        <v>5459.7229878</v>
      </c>
      <c r="Q82" s="6">
        <v>50</v>
      </c>
      <c r="R82" s="6">
        <v>51</v>
      </c>
      <c r="S82" s="6">
        <v>51</v>
      </c>
      <c r="T82" s="6">
        <v>502.7174944223676</v>
      </c>
      <c r="U82" s="6">
        <v>5453.833287237161</v>
      </c>
      <c r="V82" s="6">
        <v>5456.936072357601</v>
      </c>
      <c r="W82" s="4">
        <v>0</v>
      </c>
      <c r="X82" s="4">
        <v>0</v>
      </c>
      <c r="Y82" s="4">
        <v>0</v>
      </c>
      <c r="Z82" s="4" t="s">
        <v>307</v>
      </c>
      <c r="AA82" s="4" t="s">
        <v>308</v>
      </c>
    </row>
    <row r="83" ht="30" customHeight="1" spans="1:27" x14ac:dyDescent="0.25">
      <c r="A83" s="4" t="s">
        <v>146</v>
      </c>
      <c r="B83" s="4" t="s">
        <v>78</v>
      </c>
      <c r="C83" s="4">
        <v>18000</v>
      </c>
      <c r="D83" s="4" t="s">
        <v>79</v>
      </c>
      <c r="E83" s="4">
        <v>1</v>
      </c>
      <c r="F83" s="4">
        <v>1125</v>
      </c>
      <c r="G83" s="4">
        <v>65529</v>
      </c>
      <c r="H83" s="4">
        <v>32801</v>
      </c>
      <c r="I83" s="4">
        <v>61848</v>
      </c>
      <c r="J83" s="5">
        <v>0</v>
      </c>
      <c r="K83" s="6">
        <v>502.385709</v>
      </c>
      <c r="L83" s="6">
        <v>503.5613218</v>
      </c>
      <c r="M83" s="6">
        <v>508.46492152</v>
      </c>
      <c r="N83" s="6">
        <v>5453.446219</v>
      </c>
      <c r="O83" s="6">
        <v>5454.8018634</v>
      </c>
      <c r="P83" s="6">
        <v>5459.0824318</v>
      </c>
      <c r="Q83" s="6">
        <v>50</v>
      </c>
      <c r="R83" s="6">
        <v>51</v>
      </c>
      <c r="S83" s="6">
        <v>51</v>
      </c>
      <c r="T83" s="6">
        <v>502.7053561738811</v>
      </c>
      <c r="U83" s="6">
        <v>5453.804741211964</v>
      </c>
      <c r="V83" s="6">
        <v>5456.855629686543</v>
      </c>
      <c r="W83" s="4">
        <v>0</v>
      </c>
      <c r="X83" s="4">
        <v>0</v>
      </c>
      <c r="Y83" s="4">
        <v>0</v>
      </c>
      <c r="Z83" s="4" t="s">
        <v>309</v>
      </c>
      <c r="AA83" s="4" t="s">
        <v>310</v>
      </c>
    </row>
    <row r="84" ht="30" customHeight="1" spans="1:27" x14ac:dyDescent="0.25">
      <c r="A84" s="4" t="s">
        <v>146</v>
      </c>
      <c r="B84" s="4" t="s">
        <v>78</v>
      </c>
      <c r="C84" s="4">
        <v>18000</v>
      </c>
      <c r="D84" s="4" t="s">
        <v>79</v>
      </c>
      <c r="E84" s="4">
        <v>2</v>
      </c>
      <c r="F84" s="4">
        <v>1125</v>
      </c>
      <c r="G84" s="4">
        <v>65519</v>
      </c>
      <c r="H84" s="4">
        <v>32712</v>
      </c>
      <c r="I84" s="4">
        <v>61838</v>
      </c>
      <c r="J84" s="5">
        <v>0</v>
      </c>
      <c r="K84" s="6">
        <v>502.381192</v>
      </c>
      <c r="L84" s="6">
        <v>503.55696520000004</v>
      </c>
      <c r="M84" s="6">
        <v>508.69346866</v>
      </c>
      <c r="N84" s="6">
        <v>5453.443068</v>
      </c>
      <c r="O84" s="6">
        <v>5454.7775424</v>
      </c>
      <c r="P84" s="6">
        <v>5459.42541554</v>
      </c>
      <c r="Q84" s="6">
        <v>50</v>
      </c>
      <c r="R84" s="6">
        <v>51</v>
      </c>
      <c r="S84" s="6">
        <v>51</v>
      </c>
      <c r="T84" s="6">
        <v>502.6786227497692</v>
      </c>
      <c r="U84" s="6">
        <v>5453.786705076105</v>
      </c>
      <c r="V84" s="6">
        <v>5456.840979661421</v>
      </c>
      <c r="W84" s="4">
        <v>0</v>
      </c>
      <c r="X84" s="4">
        <v>0</v>
      </c>
      <c r="Y84" s="4">
        <v>0</v>
      </c>
      <c r="Z84" s="4" t="s">
        <v>311</v>
      </c>
      <c r="AA84" s="4" t="s">
        <v>312</v>
      </c>
    </row>
    <row r="85" ht="30" customHeight="1" spans="1:27" x14ac:dyDescent="0.25">
      <c r="A85" s="4" t="s">
        <v>146</v>
      </c>
      <c r="B85" s="4" t="s">
        <v>78</v>
      </c>
      <c r="C85" s="4">
        <v>18000</v>
      </c>
      <c r="D85" s="4" t="s">
        <v>79</v>
      </c>
      <c r="E85" s="4">
        <v>3</v>
      </c>
      <c r="F85" s="4">
        <v>1125</v>
      </c>
      <c r="G85" s="4">
        <v>65526</v>
      </c>
      <c r="H85" s="4">
        <v>32685</v>
      </c>
      <c r="I85" s="4">
        <v>61845</v>
      </c>
      <c r="J85" s="5">
        <v>0</v>
      </c>
      <c r="K85" s="6">
        <v>502.3700955</v>
      </c>
      <c r="L85" s="6">
        <v>503.5358375</v>
      </c>
      <c r="M85" s="6">
        <v>508.34767775</v>
      </c>
      <c r="N85" s="6">
        <v>5453.4235635000005</v>
      </c>
      <c r="O85" s="6">
        <v>5454.766589</v>
      </c>
      <c r="P85" s="6">
        <v>5458.839789</v>
      </c>
      <c r="Q85" s="6">
        <v>50</v>
      </c>
      <c r="R85" s="6">
        <v>51</v>
      </c>
      <c r="S85" s="6">
        <v>51</v>
      </c>
      <c r="T85" s="6">
        <v>502.69134496004693</v>
      </c>
      <c r="U85" s="6">
        <v>5453.789628593212</v>
      </c>
      <c r="V85" s="6">
        <v>5456.834645814534</v>
      </c>
      <c r="W85" s="4">
        <v>0</v>
      </c>
      <c r="X85" s="4">
        <v>0</v>
      </c>
      <c r="Y85" s="4">
        <v>0</v>
      </c>
      <c r="Z85" s="4" t="s">
        <v>313</v>
      </c>
      <c r="AA85" s="4" t="s">
        <v>314</v>
      </c>
    </row>
    <row r="86" ht="30" customHeight="1" spans="1:27" x14ac:dyDescent="0.25">
      <c r="A86" s="4" t="s">
        <v>146</v>
      </c>
      <c r="B86" s="4" t="s">
        <v>78</v>
      </c>
      <c r="C86" s="4">
        <v>18000</v>
      </c>
      <c r="D86" s="4" t="s">
        <v>79</v>
      </c>
      <c r="E86" s="4">
        <v>4</v>
      </c>
      <c r="F86" s="4">
        <v>1125</v>
      </c>
      <c r="G86" s="4">
        <v>65526</v>
      </c>
      <c r="H86" s="4">
        <v>32718</v>
      </c>
      <c r="I86" s="4">
        <v>61846</v>
      </c>
      <c r="J86" s="5">
        <v>0</v>
      </c>
      <c r="K86" s="6">
        <v>502.373151</v>
      </c>
      <c r="L86" s="6">
        <v>503.546337</v>
      </c>
      <c r="M86" s="6">
        <v>508.68259275</v>
      </c>
      <c r="N86" s="6">
        <v>5453.442123</v>
      </c>
      <c r="O86" s="6">
        <v>5454.79403</v>
      </c>
      <c r="P86" s="6">
        <v>5459.36175875</v>
      </c>
      <c r="Q86" s="6">
        <v>50</v>
      </c>
      <c r="R86" s="6">
        <v>51</v>
      </c>
      <c r="S86" s="6">
        <v>51</v>
      </c>
      <c r="T86" s="6">
        <v>502.66389426219854</v>
      </c>
      <c r="U86" s="6">
        <v>5453.776429670385</v>
      </c>
      <c r="V86" s="6">
        <v>5456.866454785151</v>
      </c>
      <c r="W86" s="4">
        <v>0</v>
      </c>
      <c r="X86" s="4">
        <v>0</v>
      </c>
      <c r="Y86" s="4">
        <v>0</v>
      </c>
      <c r="Z86" s="4" t="s">
        <v>315</v>
      </c>
      <c r="AA86" s="4" t="s">
        <v>316</v>
      </c>
    </row>
    <row r="87" ht="30" customHeight="1" spans="1:27" x14ac:dyDescent="0.25">
      <c r="A87" s="4" t="s">
        <v>146</v>
      </c>
      <c r="B87" s="4" t="s">
        <v>78</v>
      </c>
      <c r="C87" s="4">
        <v>18000</v>
      </c>
      <c r="D87" s="4" t="s">
        <v>79</v>
      </c>
      <c r="E87" s="4">
        <v>5</v>
      </c>
      <c r="F87" s="4">
        <v>1125</v>
      </c>
      <c r="G87" s="4">
        <v>65521</v>
      </c>
      <c r="H87" s="4">
        <v>32851</v>
      </c>
      <c r="I87" s="4">
        <v>61840</v>
      </c>
      <c r="J87" s="5">
        <v>0</v>
      </c>
      <c r="K87" s="6">
        <v>502.383837</v>
      </c>
      <c r="L87" s="6">
        <v>503.557927</v>
      </c>
      <c r="M87" s="6">
        <v>508.6635274</v>
      </c>
      <c r="N87" s="6">
        <v>5453.432945</v>
      </c>
      <c r="O87" s="6">
        <v>5454.777835</v>
      </c>
      <c r="P87" s="6">
        <v>5459.1291716</v>
      </c>
      <c r="Q87" s="6">
        <v>50</v>
      </c>
      <c r="R87" s="6">
        <v>51</v>
      </c>
      <c r="S87" s="6">
        <v>51</v>
      </c>
      <c r="T87" s="6">
        <v>502.6638226537315</v>
      </c>
      <c r="U87" s="6">
        <v>5453.763049500832</v>
      </c>
      <c r="V87" s="6">
        <v>5456.820480696276</v>
      </c>
      <c r="W87" s="4">
        <v>0</v>
      </c>
      <c r="X87" s="4">
        <v>0</v>
      </c>
      <c r="Y87" s="4">
        <v>0</v>
      </c>
      <c r="Z87" s="4" t="s">
        <v>317</v>
      </c>
      <c r="AA87" s="4" t="s">
        <v>318</v>
      </c>
    </row>
    <row r="88" ht="30" customHeight="1" spans="1:27" x14ac:dyDescent="0.25">
      <c r="A88" s="4" t="s">
        <v>146</v>
      </c>
      <c r="B88" s="4" t="s">
        <v>78</v>
      </c>
      <c r="C88" s="4">
        <v>18000</v>
      </c>
      <c r="D88" s="4" t="s">
        <v>79</v>
      </c>
      <c r="E88" s="4">
        <v>6</v>
      </c>
      <c r="F88" s="4">
        <v>1125</v>
      </c>
      <c r="G88" s="4">
        <v>65525</v>
      </c>
      <c r="H88" s="4">
        <v>32857</v>
      </c>
      <c r="I88" s="4">
        <v>61844</v>
      </c>
      <c r="J88" s="5">
        <v>0</v>
      </c>
      <c r="K88" s="6">
        <v>502.386651</v>
      </c>
      <c r="L88" s="6">
        <v>503.5623026</v>
      </c>
      <c r="M88" s="6">
        <v>508.95787348</v>
      </c>
      <c r="N88" s="6">
        <v>5453.444782</v>
      </c>
      <c r="O88" s="6">
        <v>5454.794964</v>
      </c>
      <c r="P88" s="6">
        <v>5459.7075848</v>
      </c>
      <c r="Q88" s="6">
        <v>50</v>
      </c>
      <c r="R88" s="6">
        <v>51</v>
      </c>
      <c r="S88" s="6">
        <v>51</v>
      </c>
      <c r="T88" s="6">
        <v>502.7151077823627</v>
      </c>
      <c r="U88" s="6">
        <v>5453.8164886213535</v>
      </c>
      <c r="V88" s="6">
        <v>5456.905947375159</v>
      </c>
      <c r="W88" s="4">
        <v>0</v>
      </c>
      <c r="X88" s="4">
        <v>0</v>
      </c>
      <c r="Y88" s="4">
        <v>0</v>
      </c>
      <c r="Z88" s="4" t="s">
        <v>319</v>
      </c>
      <c r="AA88" s="4" t="s">
        <v>320</v>
      </c>
    </row>
    <row r="89" ht="30" customHeight="1" spans="1:27" x14ac:dyDescent="0.25">
      <c r="A89" s="4" t="s">
        <v>146</v>
      </c>
      <c r="B89" s="4" t="s">
        <v>78</v>
      </c>
      <c r="C89" s="4">
        <v>18000</v>
      </c>
      <c r="D89" s="4" t="s">
        <v>79</v>
      </c>
      <c r="E89" s="4">
        <v>7</v>
      </c>
      <c r="F89" s="4">
        <v>1125</v>
      </c>
      <c r="G89" s="4">
        <v>65528</v>
      </c>
      <c r="H89" s="4">
        <v>32773</v>
      </c>
      <c r="I89" s="4">
        <v>61845</v>
      </c>
      <c r="J89" s="5">
        <v>0</v>
      </c>
      <c r="K89" s="6">
        <v>502.3727095</v>
      </c>
      <c r="L89" s="6">
        <v>503.5484746</v>
      </c>
      <c r="M89" s="6">
        <v>508.8060172599999</v>
      </c>
      <c r="N89" s="6">
        <v>5453.4297615</v>
      </c>
      <c r="O89" s="6">
        <v>5454.789632200001</v>
      </c>
      <c r="P89" s="6">
        <v>5459.15093453</v>
      </c>
      <c r="Q89" s="6">
        <v>50</v>
      </c>
      <c r="R89" s="6">
        <v>51</v>
      </c>
      <c r="S89" s="6">
        <v>51</v>
      </c>
      <c r="T89" s="6">
        <v>502.6893820382469</v>
      </c>
      <c r="U89" s="6">
        <v>5453.7929867969215</v>
      </c>
      <c r="V89" s="6">
        <v>5456.893123445191</v>
      </c>
      <c r="W89" s="4">
        <v>0</v>
      </c>
      <c r="X89" s="4">
        <v>0</v>
      </c>
      <c r="Y89" s="4">
        <v>0</v>
      </c>
      <c r="Z89" s="4" t="s">
        <v>321</v>
      </c>
      <c r="AA89" s="4" t="s">
        <v>322</v>
      </c>
    </row>
    <row r="90" ht="30" customHeight="1" spans="1:27" x14ac:dyDescent="0.25">
      <c r="A90" s="4" t="s">
        <v>146</v>
      </c>
      <c r="B90" s="4" t="s">
        <v>78</v>
      </c>
      <c r="C90" s="4">
        <v>18000</v>
      </c>
      <c r="D90" s="4" t="s">
        <v>79</v>
      </c>
      <c r="E90" s="4">
        <v>8</v>
      </c>
      <c r="F90" s="4">
        <v>1125</v>
      </c>
      <c r="G90" s="4">
        <v>65528</v>
      </c>
      <c r="H90" s="4">
        <v>32693</v>
      </c>
      <c r="I90" s="4">
        <v>61848</v>
      </c>
      <c r="J90" s="5">
        <v>0</v>
      </c>
      <c r="K90" s="6">
        <v>502.3665575</v>
      </c>
      <c r="L90" s="6">
        <v>503.5316335</v>
      </c>
      <c r="M90" s="6">
        <v>508.37441652</v>
      </c>
      <c r="N90" s="6">
        <v>5453.436797</v>
      </c>
      <c r="O90" s="6">
        <v>5454.7931254</v>
      </c>
      <c r="P90" s="6">
        <v>5459.79868114</v>
      </c>
      <c r="Q90" s="6">
        <v>50</v>
      </c>
      <c r="R90" s="6">
        <v>51</v>
      </c>
      <c r="S90" s="6">
        <v>51</v>
      </c>
      <c r="T90" s="6">
        <v>502.6474544659998</v>
      </c>
      <c r="U90" s="6">
        <v>5453.796011837917</v>
      </c>
      <c r="V90" s="6">
        <v>5456.881692078387</v>
      </c>
      <c r="W90" s="4">
        <v>0</v>
      </c>
      <c r="X90" s="4">
        <v>0</v>
      </c>
      <c r="Y90" s="4">
        <v>0</v>
      </c>
      <c r="Z90" s="4" t="s">
        <v>323</v>
      </c>
      <c r="AA90" s="4" t="s">
        <v>324</v>
      </c>
    </row>
    <row r="91" ht="30" customHeight="1" spans="1:27" x14ac:dyDescent="0.25">
      <c r="A91" s="4" t="s">
        <v>146</v>
      </c>
      <c r="B91" s="4" t="s">
        <v>78</v>
      </c>
      <c r="C91" s="4">
        <v>18000</v>
      </c>
      <c r="D91" s="4" t="s">
        <v>79</v>
      </c>
      <c r="E91" s="4">
        <v>9</v>
      </c>
      <c r="F91" s="4">
        <v>1125</v>
      </c>
      <c r="G91" s="4">
        <v>65530</v>
      </c>
      <c r="H91" s="4">
        <v>32964</v>
      </c>
      <c r="I91" s="4">
        <v>61849</v>
      </c>
      <c r="J91" s="5">
        <v>0</v>
      </c>
      <c r="K91" s="6">
        <v>502.3682455</v>
      </c>
      <c r="L91" s="6">
        <v>503.5488316</v>
      </c>
      <c r="M91" s="6">
        <v>508.89171157999994</v>
      </c>
      <c r="N91" s="6">
        <v>5453.433042000001</v>
      </c>
      <c r="O91" s="6">
        <v>5454.7953401</v>
      </c>
      <c r="P91" s="6">
        <v>5459.82726259</v>
      </c>
      <c r="Q91" s="6">
        <v>50</v>
      </c>
      <c r="R91" s="6">
        <v>51</v>
      </c>
      <c r="S91" s="6">
        <v>51</v>
      </c>
      <c r="T91" s="6">
        <v>502.6566006268105</v>
      </c>
      <c r="U91" s="6">
        <v>5453.778506894457</v>
      </c>
      <c r="V91" s="6">
        <v>5456.894757137235</v>
      </c>
      <c r="W91" s="4">
        <v>0</v>
      </c>
      <c r="X91" s="4">
        <v>0</v>
      </c>
      <c r="Y91" s="4">
        <v>0</v>
      </c>
      <c r="Z91" s="4" t="s">
        <v>325</v>
      </c>
      <c r="AA91" s="4" t="s">
        <v>326</v>
      </c>
    </row>
    <row r="92" ht="30" customHeight="1" spans="1:27" x14ac:dyDescent="0.25">
      <c r="A92" s="4" t="s">
        <v>146</v>
      </c>
      <c r="B92" s="4" t="s">
        <v>78</v>
      </c>
      <c r="C92" s="4">
        <v>18000</v>
      </c>
      <c r="D92" s="4" t="s">
        <v>79</v>
      </c>
      <c r="E92" s="4">
        <v>10</v>
      </c>
      <c r="F92" s="4">
        <v>1125</v>
      </c>
      <c r="G92" s="4">
        <v>65527</v>
      </c>
      <c r="H92" s="4">
        <v>32884</v>
      </c>
      <c r="I92" s="4">
        <v>61846</v>
      </c>
      <c r="J92" s="5">
        <v>0</v>
      </c>
      <c r="K92" s="6">
        <v>502.393591</v>
      </c>
      <c r="L92" s="6">
        <v>503.5739516</v>
      </c>
      <c r="M92" s="6">
        <v>508.76479068</v>
      </c>
      <c r="N92" s="6">
        <v>5453.456037</v>
      </c>
      <c r="O92" s="6">
        <v>5454.808039799999</v>
      </c>
      <c r="P92" s="6">
        <v>5459.92734978</v>
      </c>
      <c r="Q92" s="6">
        <v>50</v>
      </c>
      <c r="R92" s="6">
        <v>51</v>
      </c>
      <c r="S92" s="6">
        <v>51</v>
      </c>
      <c r="T92" s="6">
        <v>502.6840442040846</v>
      </c>
      <c r="U92" s="6">
        <v>5453.801175512768</v>
      </c>
      <c r="V92" s="6">
        <v>5456.90684044142</v>
      </c>
      <c r="W92" s="4">
        <v>0</v>
      </c>
      <c r="X92" s="4">
        <v>0</v>
      </c>
      <c r="Y92" s="4">
        <v>0</v>
      </c>
      <c r="Z92" s="4" t="s">
        <v>327</v>
      </c>
      <c r="AA92" s="4" t="s">
        <v>328</v>
      </c>
    </row>
    <row r="93" ht="30" customHeight="1" spans="1:27" x14ac:dyDescent="0.25">
      <c r="A93" s="4" t="s">
        <v>146</v>
      </c>
      <c r="B93" s="4" t="s">
        <v>78</v>
      </c>
      <c r="C93" s="4">
        <v>18000</v>
      </c>
      <c r="D93" s="4" t="s">
        <v>79</v>
      </c>
      <c r="E93" s="4">
        <v>11</v>
      </c>
      <c r="F93" s="4">
        <v>1125</v>
      </c>
      <c r="G93" s="4">
        <v>65528</v>
      </c>
      <c r="H93" s="4">
        <v>32892</v>
      </c>
      <c r="I93" s="4">
        <v>61848</v>
      </c>
      <c r="J93" s="5">
        <v>0</v>
      </c>
      <c r="K93" s="6">
        <v>502.370148</v>
      </c>
      <c r="L93" s="6">
        <v>503.542661</v>
      </c>
      <c r="M93" s="6">
        <v>509.0519648999999</v>
      </c>
      <c r="N93" s="6">
        <v>5453.425338</v>
      </c>
      <c r="O93" s="6">
        <v>5454.7887098</v>
      </c>
      <c r="P93" s="6">
        <v>5459.871597689999</v>
      </c>
      <c r="Q93" s="6">
        <v>50</v>
      </c>
      <c r="R93" s="6">
        <v>51</v>
      </c>
      <c r="S93" s="6">
        <v>51</v>
      </c>
      <c r="T93" s="6">
        <v>502.68901896946153</v>
      </c>
      <c r="U93" s="6">
        <v>5453.80769603957</v>
      </c>
      <c r="V93" s="6">
        <v>5456.874783521006</v>
      </c>
      <c r="W93" s="4">
        <v>0</v>
      </c>
      <c r="X93" s="4">
        <v>0</v>
      </c>
      <c r="Y93" s="4">
        <v>0</v>
      </c>
      <c r="Z93" s="4" t="s">
        <v>329</v>
      </c>
      <c r="AA93" s="4" t="s">
        <v>330</v>
      </c>
    </row>
    <row r="94" ht="30" customHeight="1" spans="1:27" x14ac:dyDescent="0.25">
      <c r="A94" s="4" t="s">
        <v>146</v>
      </c>
      <c r="B94" s="4" t="s">
        <v>78</v>
      </c>
      <c r="C94" s="4">
        <v>18000</v>
      </c>
      <c r="D94" s="4" t="s">
        <v>79</v>
      </c>
      <c r="E94" s="4">
        <v>12</v>
      </c>
      <c r="F94" s="4">
        <v>1125</v>
      </c>
      <c r="G94" s="4">
        <v>65526</v>
      </c>
      <c r="H94" s="4">
        <v>32790</v>
      </c>
      <c r="I94" s="4">
        <v>61845</v>
      </c>
      <c r="J94" s="5">
        <v>0</v>
      </c>
      <c r="K94" s="6">
        <v>502.3871615</v>
      </c>
      <c r="L94" s="6">
        <v>503.56737499999997</v>
      </c>
      <c r="M94" s="6">
        <v>508.46433025</v>
      </c>
      <c r="N94" s="6">
        <v>5453.451133500001</v>
      </c>
      <c r="O94" s="6">
        <v>5454.8158255</v>
      </c>
      <c r="P94" s="6">
        <v>5459.67628525</v>
      </c>
      <c r="Q94" s="6">
        <v>50</v>
      </c>
      <c r="R94" s="6">
        <v>51</v>
      </c>
      <c r="S94" s="6">
        <v>51</v>
      </c>
      <c r="T94" s="6">
        <v>502.6654058634904</v>
      </c>
      <c r="U94" s="6">
        <v>5453.790915400731</v>
      </c>
      <c r="V94" s="6">
        <v>5456.866200811002</v>
      </c>
      <c r="W94" s="4">
        <v>0</v>
      </c>
      <c r="X94" s="4">
        <v>0</v>
      </c>
      <c r="Y94" s="4">
        <v>0</v>
      </c>
      <c r="Z94" s="4" t="s">
        <v>331</v>
      </c>
      <c r="AA94" s="4" t="s">
        <v>332</v>
      </c>
    </row>
    <row r="95" ht="30" customHeight="1" spans="1:27" x14ac:dyDescent="0.25">
      <c r="A95" s="4" t="s">
        <v>146</v>
      </c>
      <c r="B95" s="4" t="s">
        <v>78</v>
      </c>
      <c r="C95" s="4">
        <v>18000</v>
      </c>
      <c r="D95" s="4" t="s">
        <v>79</v>
      </c>
      <c r="E95" s="4">
        <v>13</v>
      </c>
      <c r="F95" s="4">
        <v>1125</v>
      </c>
      <c r="G95" s="4">
        <v>65525</v>
      </c>
      <c r="H95" s="4">
        <v>32955</v>
      </c>
      <c r="I95" s="4">
        <v>61843</v>
      </c>
      <c r="J95" s="5">
        <v>0</v>
      </c>
      <c r="K95" s="6">
        <v>502.37624</v>
      </c>
      <c r="L95" s="6">
        <v>503.5567964</v>
      </c>
      <c r="M95" s="6">
        <v>508.89029556</v>
      </c>
      <c r="N95" s="6">
        <v>5453.451657</v>
      </c>
      <c r="O95" s="6">
        <v>5454.8321672</v>
      </c>
      <c r="P95" s="6">
        <v>5459.859548</v>
      </c>
      <c r="Q95" s="6">
        <v>50</v>
      </c>
      <c r="R95" s="6">
        <v>51</v>
      </c>
      <c r="S95" s="6">
        <v>51</v>
      </c>
      <c r="T95" s="6">
        <v>502.69533911307605</v>
      </c>
      <c r="U95" s="6">
        <v>5453.831760348157</v>
      </c>
      <c r="V95" s="6">
        <v>5456.985813620353</v>
      </c>
      <c r="W95" s="4">
        <v>0</v>
      </c>
      <c r="X95" s="4">
        <v>0</v>
      </c>
      <c r="Y95" s="4">
        <v>0</v>
      </c>
      <c r="Z95" s="4" t="s">
        <v>333</v>
      </c>
      <c r="AA95" s="4" t="s">
        <v>334</v>
      </c>
    </row>
    <row r="96" ht="30" customHeight="1" spans="1:27" x14ac:dyDescent="0.25">
      <c r="A96" s="4" t="s">
        <v>146</v>
      </c>
      <c r="B96" s="4" t="s">
        <v>78</v>
      </c>
      <c r="C96" s="4">
        <v>18000</v>
      </c>
      <c r="D96" s="4" t="s">
        <v>79</v>
      </c>
      <c r="E96" s="4">
        <v>14</v>
      </c>
      <c r="F96" s="4">
        <v>1125</v>
      </c>
      <c r="G96" s="4">
        <v>65526</v>
      </c>
      <c r="H96" s="4">
        <v>32771</v>
      </c>
      <c r="I96" s="4">
        <v>61846</v>
      </c>
      <c r="J96" s="5">
        <v>0</v>
      </c>
      <c r="K96" s="6">
        <v>502.370087</v>
      </c>
      <c r="L96" s="6">
        <v>503.538866</v>
      </c>
      <c r="M96" s="6">
        <v>508.46439325</v>
      </c>
      <c r="N96" s="6">
        <v>5453.4310955</v>
      </c>
      <c r="O96" s="6">
        <v>5454.7860075</v>
      </c>
      <c r="P96" s="6">
        <v>5459.9519195</v>
      </c>
      <c r="Q96" s="6">
        <v>50</v>
      </c>
      <c r="R96" s="6">
        <v>51</v>
      </c>
      <c r="S96" s="6">
        <v>51</v>
      </c>
      <c r="T96" s="6">
        <v>502.66649404194834</v>
      </c>
      <c r="U96" s="6">
        <v>5453.790548065995</v>
      </c>
      <c r="V96" s="6">
        <v>5456.8399193486</v>
      </c>
      <c r="W96" s="4">
        <v>0</v>
      </c>
      <c r="X96" s="4">
        <v>0</v>
      </c>
      <c r="Y96" s="4">
        <v>0</v>
      </c>
      <c r="Z96" s="4" t="s">
        <v>335</v>
      </c>
      <c r="AA96" s="4" t="s">
        <v>336</v>
      </c>
    </row>
    <row r="97" ht="30" customHeight="1" spans="1:27" x14ac:dyDescent="0.25">
      <c r="A97" s="4" t="s">
        <v>146</v>
      </c>
      <c r="B97" s="4" t="s">
        <v>78</v>
      </c>
      <c r="C97" s="4">
        <v>18000</v>
      </c>
      <c r="D97" s="4" t="s">
        <v>79</v>
      </c>
      <c r="E97" s="4">
        <v>15</v>
      </c>
      <c r="F97" s="4">
        <v>1125</v>
      </c>
      <c r="G97" s="4">
        <v>65528</v>
      </c>
      <c r="H97" s="4">
        <v>32839</v>
      </c>
      <c r="I97" s="4">
        <v>61847</v>
      </c>
      <c r="J97" s="5">
        <v>0</v>
      </c>
      <c r="K97" s="6">
        <v>502.3845645</v>
      </c>
      <c r="L97" s="6">
        <v>503.5605081</v>
      </c>
      <c r="M97" s="6">
        <v>508.4048285299999</v>
      </c>
      <c r="N97" s="6">
        <v>5453.449098</v>
      </c>
      <c r="O97" s="6">
        <v>5454.8015648</v>
      </c>
      <c r="P97" s="6">
        <v>5459.74121733</v>
      </c>
      <c r="Q97" s="6">
        <v>50</v>
      </c>
      <c r="R97" s="6">
        <v>51</v>
      </c>
      <c r="S97" s="6">
        <v>51</v>
      </c>
      <c r="T97" s="6">
        <v>502.6442017908855</v>
      </c>
      <c r="U97" s="6">
        <v>5453.77248887836</v>
      </c>
      <c r="V97" s="6">
        <v>5456.830931164516</v>
      </c>
      <c r="W97" s="4">
        <v>0</v>
      </c>
      <c r="X97" s="4">
        <v>0</v>
      </c>
      <c r="Y97" s="4">
        <v>0</v>
      </c>
      <c r="Z97" s="4" t="s">
        <v>337</v>
      </c>
      <c r="AA97" s="4" t="s">
        <v>338</v>
      </c>
    </row>
    <row r="98" ht="30" customHeight="1" spans="1:27" x14ac:dyDescent="0.25">
      <c r="A98" s="4" t="s">
        <v>146</v>
      </c>
      <c r="B98" s="4" t="s">
        <v>87</v>
      </c>
      <c r="C98" s="4">
        <v>1000</v>
      </c>
      <c r="D98" s="4" t="s">
        <v>79</v>
      </c>
      <c r="E98" s="4">
        <v>0</v>
      </c>
      <c r="F98" s="4">
        <v>63</v>
      </c>
      <c r="G98" s="4">
        <v>3646</v>
      </c>
      <c r="H98" s="4">
        <v>1830</v>
      </c>
      <c r="I98" s="4">
        <v>3442</v>
      </c>
      <c r="J98" s="5">
        <v>0</v>
      </c>
      <c r="K98" s="6">
        <v>503.2566185</v>
      </c>
      <c r="L98" s="6">
        <v>505.5682645</v>
      </c>
      <c r="M98" s="6">
        <v>508.52145265</v>
      </c>
      <c r="N98" s="6">
        <v>5483.660742</v>
      </c>
      <c r="O98" s="6">
        <v>5485.96899</v>
      </c>
      <c r="P98" s="6">
        <v>5488.48592145</v>
      </c>
      <c r="Q98" s="6">
        <v>20</v>
      </c>
      <c r="R98" s="6">
        <v>21</v>
      </c>
      <c r="S98" s="6">
        <v>21</v>
      </c>
      <c r="T98" s="6">
        <v>503.6050298554564</v>
      </c>
      <c r="U98" s="6">
        <v>5483.998261049631</v>
      </c>
      <c r="V98" s="6">
        <v>5488.660896682389</v>
      </c>
      <c r="W98" s="4">
        <v>0</v>
      </c>
      <c r="X98" s="4">
        <v>0</v>
      </c>
      <c r="Y98" s="4">
        <v>0</v>
      </c>
      <c r="Z98" s="4" t="s">
        <v>339</v>
      </c>
      <c r="AA98" s="4" t="s">
        <v>340</v>
      </c>
    </row>
    <row r="99" ht="30" customHeight="1" spans="1:27" x14ac:dyDescent="0.25">
      <c r="A99" s="4" t="s">
        <v>146</v>
      </c>
      <c r="B99" s="4" t="s">
        <v>87</v>
      </c>
      <c r="C99" s="4">
        <v>1000</v>
      </c>
      <c r="D99" s="4" t="s">
        <v>79</v>
      </c>
      <c r="E99" s="4">
        <v>1</v>
      </c>
      <c r="F99" s="4">
        <v>63</v>
      </c>
      <c r="G99" s="4">
        <v>3646</v>
      </c>
      <c r="H99" s="4">
        <v>1801</v>
      </c>
      <c r="I99" s="4">
        <v>3441</v>
      </c>
      <c r="J99" s="5">
        <v>0</v>
      </c>
      <c r="K99" s="6">
        <v>503.33929750000004</v>
      </c>
      <c r="L99" s="6">
        <v>505.728738</v>
      </c>
      <c r="M99" s="6">
        <v>508.78226285</v>
      </c>
      <c r="N99" s="6">
        <v>5483.7434565</v>
      </c>
      <c r="O99" s="6">
        <v>5486.181965</v>
      </c>
      <c r="P99" s="6">
        <v>5488.6967983</v>
      </c>
      <c r="Q99" s="6">
        <v>20</v>
      </c>
      <c r="R99" s="6">
        <v>21</v>
      </c>
      <c r="S99" s="6">
        <v>21</v>
      </c>
      <c r="T99" s="6">
        <v>503.6967902997803</v>
      </c>
      <c r="U99" s="6">
        <v>5484.095247195285</v>
      </c>
      <c r="V99" s="6">
        <v>5488.839307800327</v>
      </c>
      <c r="W99" s="4">
        <v>0</v>
      </c>
      <c r="X99" s="4">
        <v>0</v>
      </c>
      <c r="Y99" s="4">
        <v>0</v>
      </c>
      <c r="Z99" s="4" t="s">
        <v>341</v>
      </c>
      <c r="AA99" s="4" t="s">
        <v>342</v>
      </c>
    </row>
    <row r="100" ht="30" customHeight="1" spans="1:27" x14ac:dyDescent="0.25">
      <c r="A100" s="4" t="s">
        <v>146</v>
      </c>
      <c r="B100" s="4" t="s">
        <v>87</v>
      </c>
      <c r="C100" s="4">
        <v>1000</v>
      </c>
      <c r="D100" s="4" t="s">
        <v>79</v>
      </c>
      <c r="E100" s="4">
        <v>2</v>
      </c>
      <c r="F100" s="4">
        <v>63</v>
      </c>
      <c r="G100" s="4">
        <v>3647</v>
      </c>
      <c r="H100" s="4">
        <v>1822</v>
      </c>
      <c r="I100" s="4">
        <v>3442</v>
      </c>
      <c r="J100" s="5">
        <v>0</v>
      </c>
      <c r="K100" s="6">
        <v>503.343959</v>
      </c>
      <c r="L100" s="6">
        <v>505.765786</v>
      </c>
      <c r="M100" s="6">
        <v>508.61563916</v>
      </c>
      <c r="N100" s="6">
        <v>5483.72699</v>
      </c>
      <c r="O100" s="6">
        <v>5486.1187024</v>
      </c>
      <c r="P100" s="6">
        <v>5488.48604632</v>
      </c>
      <c r="Q100" s="6">
        <v>20</v>
      </c>
      <c r="R100" s="6">
        <v>21</v>
      </c>
      <c r="S100" s="6">
        <v>21</v>
      </c>
      <c r="T100" s="6">
        <v>503.71320148286134</v>
      </c>
      <c r="U100" s="6">
        <v>5484.088778428017</v>
      </c>
      <c r="V100" s="6">
        <v>5488.836236089396</v>
      </c>
      <c r="W100" s="4">
        <v>0</v>
      </c>
      <c r="X100" s="4">
        <v>0</v>
      </c>
      <c r="Y100" s="4">
        <v>0</v>
      </c>
      <c r="Z100" s="4" t="s">
        <v>343</v>
      </c>
      <c r="AA100" s="4" t="s">
        <v>344</v>
      </c>
    </row>
    <row r="101" ht="30" customHeight="1" spans="1:27" x14ac:dyDescent="0.25">
      <c r="A101" s="4" t="s">
        <v>146</v>
      </c>
      <c r="B101" s="4" t="s">
        <v>87</v>
      </c>
      <c r="C101" s="4">
        <v>1000</v>
      </c>
      <c r="D101" s="4" t="s">
        <v>79</v>
      </c>
      <c r="E101" s="4">
        <v>3</v>
      </c>
      <c r="F101" s="4">
        <v>63</v>
      </c>
      <c r="G101" s="4">
        <v>3647</v>
      </c>
      <c r="H101" s="4">
        <v>1825</v>
      </c>
      <c r="I101" s="4">
        <v>3442</v>
      </c>
      <c r="J101" s="5">
        <v>0</v>
      </c>
      <c r="K101" s="6">
        <v>503.357294</v>
      </c>
      <c r="L101" s="6">
        <v>505.76946680000003</v>
      </c>
      <c r="M101" s="6">
        <v>508.68302472</v>
      </c>
      <c r="N101" s="6">
        <v>5483.731204</v>
      </c>
      <c r="O101" s="6">
        <v>5486.0855908</v>
      </c>
      <c r="P101" s="6">
        <v>5488.7655189</v>
      </c>
      <c r="Q101" s="6">
        <v>20</v>
      </c>
      <c r="R101" s="6">
        <v>21</v>
      </c>
      <c r="S101" s="6">
        <v>21</v>
      </c>
      <c r="T101" s="6">
        <v>503.6989118286262</v>
      </c>
      <c r="U101" s="6">
        <v>5484.048479526727</v>
      </c>
      <c r="V101" s="6">
        <v>5488.797649349332</v>
      </c>
      <c r="W101" s="4">
        <v>0</v>
      </c>
      <c r="X101" s="4">
        <v>0</v>
      </c>
      <c r="Y101" s="4">
        <v>0</v>
      </c>
      <c r="Z101" s="4" t="s">
        <v>345</v>
      </c>
      <c r="AA101" s="4" t="s">
        <v>346</v>
      </c>
    </row>
    <row r="102" ht="30" customHeight="1" spans="1:27" x14ac:dyDescent="0.25">
      <c r="A102" s="4" t="s">
        <v>146</v>
      </c>
      <c r="B102" s="4" t="s">
        <v>87</v>
      </c>
      <c r="C102" s="4">
        <v>1000</v>
      </c>
      <c r="D102" s="4" t="s">
        <v>79</v>
      </c>
      <c r="E102" s="4">
        <v>4</v>
      </c>
      <c r="F102" s="4">
        <v>63</v>
      </c>
      <c r="G102" s="4">
        <v>3646</v>
      </c>
      <c r="H102" s="4">
        <v>1860</v>
      </c>
      <c r="I102" s="4">
        <v>3441</v>
      </c>
      <c r="J102" s="5">
        <v>0</v>
      </c>
      <c r="K102" s="6">
        <v>503.333762</v>
      </c>
      <c r="L102" s="6">
        <v>505.838872</v>
      </c>
      <c r="M102" s="6">
        <v>509.0748616</v>
      </c>
      <c r="N102" s="6">
        <v>5483.7901095</v>
      </c>
      <c r="O102" s="6">
        <v>5486.100564</v>
      </c>
      <c r="P102" s="6">
        <v>5489.2082844</v>
      </c>
      <c r="Q102" s="6">
        <v>20</v>
      </c>
      <c r="R102" s="6">
        <v>21</v>
      </c>
      <c r="S102" s="6">
        <v>21</v>
      </c>
      <c r="T102" s="6">
        <v>503.7464613417449</v>
      </c>
      <c r="U102" s="6">
        <v>5484.1133257062465</v>
      </c>
      <c r="V102" s="6">
        <v>5488.990096039215</v>
      </c>
      <c r="W102" s="4">
        <v>0</v>
      </c>
      <c r="X102" s="4">
        <v>0</v>
      </c>
      <c r="Y102" s="4">
        <v>0</v>
      </c>
      <c r="Z102" s="4" t="s">
        <v>347</v>
      </c>
      <c r="AA102" s="4" t="s">
        <v>348</v>
      </c>
    </row>
    <row r="103" ht="30" customHeight="1" spans="1:27" x14ac:dyDescent="0.25">
      <c r="A103" s="4" t="s">
        <v>146</v>
      </c>
      <c r="B103" s="4" t="s">
        <v>87</v>
      </c>
      <c r="C103" s="4">
        <v>1000</v>
      </c>
      <c r="D103" s="4" t="s">
        <v>79</v>
      </c>
      <c r="E103" s="4">
        <v>5</v>
      </c>
      <c r="F103" s="4">
        <v>63</v>
      </c>
      <c r="G103" s="4">
        <v>3646</v>
      </c>
      <c r="H103" s="4">
        <v>1824</v>
      </c>
      <c r="I103" s="4">
        <v>3441</v>
      </c>
      <c r="J103" s="5">
        <v>0</v>
      </c>
      <c r="K103" s="6">
        <v>503.3356295</v>
      </c>
      <c r="L103" s="6">
        <v>505.771977</v>
      </c>
      <c r="M103" s="6">
        <v>508.50038645</v>
      </c>
      <c r="N103" s="6">
        <v>5483.709679</v>
      </c>
      <c r="O103" s="6">
        <v>5486.063481</v>
      </c>
      <c r="P103" s="6">
        <v>5488.62949335</v>
      </c>
      <c r="Q103" s="6">
        <v>20</v>
      </c>
      <c r="R103" s="6">
        <v>21</v>
      </c>
      <c r="S103" s="6">
        <v>21</v>
      </c>
      <c r="T103" s="6">
        <v>503.69040264618883</v>
      </c>
      <c r="U103" s="6">
        <v>5484.03532662123</v>
      </c>
      <c r="V103" s="6">
        <v>5488.77173940565</v>
      </c>
      <c r="W103" s="4">
        <v>0</v>
      </c>
      <c r="X103" s="4">
        <v>0</v>
      </c>
      <c r="Y103" s="4">
        <v>0</v>
      </c>
      <c r="Z103" s="4" t="s">
        <v>349</v>
      </c>
      <c r="AA103" s="4" t="s">
        <v>350</v>
      </c>
    </row>
    <row r="104" ht="30" customHeight="1" spans="1:27" x14ac:dyDescent="0.25">
      <c r="A104" s="4" t="s">
        <v>146</v>
      </c>
      <c r="B104" s="4" t="s">
        <v>87</v>
      </c>
      <c r="C104" s="4">
        <v>1000</v>
      </c>
      <c r="D104" s="4" t="s">
        <v>79</v>
      </c>
      <c r="E104" s="4">
        <v>6</v>
      </c>
      <c r="F104" s="4">
        <v>63</v>
      </c>
      <c r="G104" s="4">
        <v>3646</v>
      </c>
      <c r="H104" s="4">
        <v>1741</v>
      </c>
      <c r="I104" s="4">
        <v>3441</v>
      </c>
      <c r="J104" s="5">
        <v>0</v>
      </c>
      <c r="K104" s="6">
        <v>503.3144665</v>
      </c>
      <c r="L104" s="6">
        <v>505.677005</v>
      </c>
      <c r="M104" s="6">
        <v>508.26446395</v>
      </c>
      <c r="N104" s="6">
        <v>5483.664139</v>
      </c>
      <c r="O104" s="6">
        <v>5486.0617345</v>
      </c>
      <c r="P104" s="6">
        <v>5488.827612</v>
      </c>
      <c r="Q104" s="6">
        <v>20</v>
      </c>
      <c r="R104" s="6">
        <v>21</v>
      </c>
      <c r="S104" s="6">
        <v>21</v>
      </c>
      <c r="T104" s="6">
        <v>503.65270458749285</v>
      </c>
      <c r="U104" s="6">
        <v>5484.022020229013</v>
      </c>
      <c r="V104" s="6">
        <v>5488.604994223529</v>
      </c>
      <c r="W104" s="4">
        <v>0</v>
      </c>
      <c r="X104" s="4">
        <v>0</v>
      </c>
      <c r="Y104" s="4">
        <v>0</v>
      </c>
      <c r="Z104" s="4" t="s">
        <v>351</v>
      </c>
      <c r="AA104" s="4" t="s">
        <v>352</v>
      </c>
    </row>
    <row r="105" ht="30" customHeight="1" spans="1:27" x14ac:dyDescent="0.25">
      <c r="A105" s="4" t="s">
        <v>146</v>
      </c>
      <c r="B105" s="4" t="s">
        <v>87</v>
      </c>
      <c r="C105" s="4">
        <v>1000</v>
      </c>
      <c r="D105" s="4" t="s">
        <v>79</v>
      </c>
      <c r="E105" s="4">
        <v>7</v>
      </c>
      <c r="F105" s="4">
        <v>63</v>
      </c>
      <c r="G105" s="4">
        <v>3646</v>
      </c>
      <c r="H105" s="4">
        <v>1816</v>
      </c>
      <c r="I105" s="4">
        <v>3441</v>
      </c>
      <c r="J105" s="5">
        <v>0</v>
      </c>
      <c r="K105" s="6">
        <v>503.250344</v>
      </c>
      <c r="L105" s="6">
        <v>505.603628</v>
      </c>
      <c r="M105" s="6">
        <v>508.55161555</v>
      </c>
      <c r="N105" s="6">
        <v>5483.6858864999995</v>
      </c>
      <c r="O105" s="6">
        <v>5485.999867</v>
      </c>
      <c r="P105" s="6">
        <v>5488.9795727499995</v>
      </c>
      <c r="Q105" s="6">
        <v>20</v>
      </c>
      <c r="R105" s="6">
        <v>21</v>
      </c>
      <c r="S105" s="6">
        <v>21</v>
      </c>
      <c r="T105" s="6">
        <v>503.62121349094923</v>
      </c>
      <c r="U105" s="6">
        <v>5484.021012831592</v>
      </c>
      <c r="V105" s="6">
        <v>5488.629278590787</v>
      </c>
      <c r="W105" s="4">
        <v>0</v>
      </c>
      <c r="X105" s="4">
        <v>0</v>
      </c>
      <c r="Y105" s="4">
        <v>0</v>
      </c>
      <c r="Z105" s="4" t="s">
        <v>353</v>
      </c>
      <c r="AA105" s="4" t="s">
        <v>354</v>
      </c>
    </row>
    <row r="106" ht="30" customHeight="1" spans="1:27" x14ac:dyDescent="0.25">
      <c r="A106" s="4" t="s">
        <v>146</v>
      </c>
      <c r="B106" s="4" t="s">
        <v>87</v>
      </c>
      <c r="C106" s="4">
        <v>1000</v>
      </c>
      <c r="D106" s="4" t="s">
        <v>79</v>
      </c>
      <c r="E106" s="4">
        <v>8</v>
      </c>
      <c r="F106" s="4">
        <v>62</v>
      </c>
      <c r="G106" s="4">
        <v>3589</v>
      </c>
      <c r="H106" s="4">
        <v>1749</v>
      </c>
      <c r="I106" s="4">
        <v>3387</v>
      </c>
      <c r="J106" s="5">
        <v>0</v>
      </c>
      <c r="K106" s="6">
        <v>503.335179</v>
      </c>
      <c r="L106" s="6">
        <v>505.68230140000003</v>
      </c>
      <c r="M106" s="6">
        <v>508.37708347999995</v>
      </c>
      <c r="N106" s="6">
        <v>5483.673556</v>
      </c>
      <c r="O106" s="6">
        <v>5486.0738128</v>
      </c>
      <c r="P106" s="6">
        <v>5489.162196480001</v>
      </c>
      <c r="Q106" s="6">
        <v>20</v>
      </c>
      <c r="R106" s="6">
        <v>21</v>
      </c>
      <c r="S106" s="6">
        <v>21</v>
      </c>
      <c r="T106" s="6">
        <v>503.6786094917816</v>
      </c>
      <c r="U106" s="6">
        <v>5484.049026676229</v>
      </c>
      <c r="V106" s="6">
        <v>5488.567039523523</v>
      </c>
      <c r="W106" s="4">
        <v>0</v>
      </c>
      <c r="X106" s="4">
        <v>0</v>
      </c>
      <c r="Y106" s="4">
        <v>0</v>
      </c>
      <c r="Z106" s="4" t="s">
        <v>355</v>
      </c>
      <c r="AA106" s="4" t="s">
        <v>356</v>
      </c>
    </row>
    <row r="107" ht="30" customHeight="1" spans="1:27" x14ac:dyDescent="0.25">
      <c r="A107" s="4" t="s">
        <v>146</v>
      </c>
      <c r="B107" s="4" t="s">
        <v>87</v>
      </c>
      <c r="C107" s="4">
        <v>1000</v>
      </c>
      <c r="D107" s="4" t="s">
        <v>79</v>
      </c>
      <c r="E107" s="4">
        <v>9</v>
      </c>
      <c r="F107" s="4">
        <v>62</v>
      </c>
      <c r="G107" s="4">
        <v>3589</v>
      </c>
      <c r="H107" s="4">
        <v>1755</v>
      </c>
      <c r="I107" s="4">
        <v>3387</v>
      </c>
      <c r="J107" s="5">
        <v>0</v>
      </c>
      <c r="K107" s="6">
        <v>503.253049</v>
      </c>
      <c r="L107" s="6">
        <v>505.7116462</v>
      </c>
      <c r="M107" s="6">
        <v>508.36772264</v>
      </c>
      <c r="N107" s="6">
        <v>5483.733151</v>
      </c>
      <c r="O107" s="6">
        <v>5486.0774526000005</v>
      </c>
      <c r="P107" s="6">
        <v>5488.7657642799995</v>
      </c>
      <c r="Q107" s="6">
        <v>20</v>
      </c>
      <c r="R107" s="6">
        <v>21</v>
      </c>
      <c r="S107" s="6">
        <v>21</v>
      </c>
      <c r="T107" s="6">
        <v>503.6297432485371</v>
      </c>
      <c r="U107" s="6">
        <v>5484.061035980503</v>
      </c>
      <c r="V107" s="6">
        <v>5488.702811534404</v>
      </c>
      <c r="W107" s="4">
        <v>0</v>
      </c>
      <c r="X107" s="4">
        <v>0</v>
      </c>
      <c r="Y107" s="4">
        <v>0</v>
      </c>
      <c r="Z107" s="4" t="s">
        <v>357</v>
      </c>
      <c r="AA107" s="4" t="s">
        <v>358</v>
      </c>
    </row>
    <row r="108" ht="30" customHeight="1" spans="1:27" x14ac:dyDescent="0.25">
      <c r="A108" s="4" t="s">
        <v>146</v>
      </c>
      <c r="B108" s="4" t="s">
        <v>87</v>
      </c>
      <c r="C108" s="4">
        <v>1000</v>
      </c>
      <c r="D108" s="4" t="s">
        <v>79</v>
      </c>
      <c r="E108" s="4">
        <v>10</v>
      </c>
      <c r="F108" s="4">
        <v>62</v>
      </c>
      <c r="G108" s="4">
        <v>3589</v>
      </c>
      <c r="H108" s="4">
        <v>1830</v>
      </c>
      <c r="I108" s="4">
        <v>3387</v>
      </c>
      <c r="J108" s="5">
        <v>0</v>
      </c>
      <c r="K108" s="6">
        <v>503.328855</v>
      </c>
      <c r="L108" s="6">
        <v>505.71644019999997</v>
      </c>
      <c r="M108" s="6">
        <v>508.33037104</v>
      </c>
      <c r="N108" s="6">
        <v>5483.720736</v>
      </c>
      <c r="O108" s="6">
        <v>5486.08216</v>
      </c>
      <c r="P108" s="6">
        <v>5488.8265654</v>
      </c>
      <c r="Q108" s="6">
        <v>20</v>
      </c>
      <c r="R108" s="6">
        <v>21</v>
      </c>
      <c r="S108" s="6">
        <v>21</v>
      </c>
      <c r="T108" s="6">
        <v>503.6740296748409</v>
      </c>
      <c r="U108" s="6">
        <v>5484.0778340406905</v>
      </c>
      <c r="V108" s="6">
        <v>5488.808784692664</v>
      </c>
      <c r="W108" s="4">
        <v>0</v>
      </c>
      <c r="X108" s="4">
        <v>0</v>
      </c>
      <c r="Y108" s="4">
        <v>0</v>
      </c>
      <c r="Z108" s="4" t="s">
        <v>359</v>
      </c>
      <c r="AA108" s="4" t="s">
        <v>360</v>
      </c>
    </row>
    <row r="109" ht="30" customHeight="1" spans="1:27" x14ac:dyDescent="0.25">
      <c r="A109" s="4" t="s">
        <v>146</v>
      </c>
      <c r="B109" s="4" t="s">
        <v>87</v>
      </c>
      <c r="C109" s="4">
        <v>1000</v>
      </c>
      <c r="D109" s="4" t="s">
        <v>79</v>
      </c>
      <c r="E109" s="4">
        <v>11</v>
      </c>
      <c r="F109" s="4">
        <v>62</v>
      </c>
      <c r="G109" s="4">
        <v>3589</v>
      </c>
      <c r="H109" s="4">
        <v>1791</v>
      </c>
      <c r="I109" s="4">
        <v>3387</v>
      </c>
      <c r="J109" s="5">
        <v>0</v>
      </c>
      <c r="K109" s="6">
        <v>503.34344</v>
      </c>
      <c r="L109" s="6">
        <v>505.7163976</v>
      </c>
      <c r="M109" s="6">
        <v>508.31528807999996</v>
      </c>
      <c r="N109" s="6">
        <v>5483.630596</v>
      </c>
      <c r="O109" s="6">
        <v>5485.9313268</v>
      </c>
      <c r="P109" s="6">
        <v>5488.80739296</v>
      </c>
      <c r="Q109" s="6">
        <v>20</v>
      </c>
      <c r="R109" s="6">
        <v>21</v>
      </c>
      <c r="S109" s="6">
        <v>21</v>
      </c>
      <c r="T109" s="6">
        <v>503.6813452529951</v>
      </c>
      <c r="U109" s="6">
        <v>5484.013369229865</v>
      </c>
      <c r="V109" s="6">
        <v>5488.738796112835</v>
      </c>
      <c r="W109" s="4">
        <v>0</v>
      </c>
      <c r="X109" s="4">
        <v>0</v>
      </c>
      <c r="Y109" s="4">
        <v>0</v>
      </c>
      <c r="Z109" s="4" t="s">
        <v>361</v>
      </c>
      <c r="AA109" s="4" t="s">
        <v>362</v>
      </c>
    </row>
    <row r="110" ht="30" customHeight="1" spans="1:27" x14ac:dyDescent="0.25">
      <c r="A110" s="4" t="s">
        <v>146</v>
      </c>
      <c r="B110" s="4" t="s">
        <v>87</v>
      </c>
      <c r="C110" s="4">
        <v>1000</v>
      </c>
      <c r="D110" s="4" t="s">
        <v>79</v>
      </c>
      <c r="E110" s="4">
        <v>12</v>
      </c>
      <c r="F110" s="4">
        <v>62</v>
      </c>
      <c r="G110" s="4">
        <v>3589</v>
      </c>
      <c r="H110" s="4">
        <v>1791</v>
      </c>
      <c r="I110" s="4">
        <v>3387</v>
      </c>
      <c r="J110" s="5">
        <v>0</v>
      </c>
      <c r="K110" s="6">
        <v>503.333529</v>
      </c>
      <c r="L110" s="6">
        <v>505.605455</v>
      </c>
      <c r="M110" s="6">
        <v>508.35937112000005</v>
      </c>
      <c r="N110" s="6">
        <v>5483.689398</v>
      </c>
      <c r="O110" s="6">
        <v>5486.0831676</v>
      </c>
      <c r="P110" s="6">
        <v>5489.09859536</v>
      </c>
      <c r="Q110" s="6">
        <v>20</v>
      </c>
      <c r="R110" s="6">
        <v>21</v>
      </c>
      <c r="S110" s="6">
        <v>21</v>
      </c>
      <c r="T110" s="6">
        <v>503.643746544162</v>
      </c>
      <c r="U110" s="6">
        <v>5484.047551076069</v>
      </c>
      <c r="V110" s="6">
        <v>5488.660359414858</v>
      </c>
      <c r="W110" s="4">
        <v>0</v>
      </c>
      <c r="X110" s="4">
        <v>0</v>
      </c>
      <c r="Y110" s="4">
        <v>0</v>
      </c>
      <c r="Z110" s="4" t="s">
        <v>363</v>
      </c>
      <c r="AA110" s="4" t="s">
        <v>364</v>
      </c>
    </row>
    <row r="111" ht="30" customHeight="1" spans="1:27" x14ac:dyDescent="0.25">
      <c r="A111" s="4" t="s">
        <v>146</v>
      </c>
      <c r="B111" s="4" t="s">
        <v>87</v>
      </c>
      <c r="C111" s="4">
        <v>1000</v>
      </c>
      <c r="D111" s="4" t="s">
        <v>79</v>
      </c>
      <c r="E111" s="4">
        <v>13</v>
      </c>
      <c r="F111" s="4">
        <v>62</v>
      </c>
      <c r="G111" s="4">
        <v>3589</v>
      </c>
      <c r="H111" s="4">
        <v>1793</v>
      </c>
      <c r="I111" s="4">
        <v>3387</v>
      </c>
      <c r="J111" s="5">
        <v>0</v>
      </c>
      <c r="K111" s="6">
        <v>503.283209</v>
      </c>
      <c r="L111" s="6">
        <v>505.6847978</v>
      </c>
      <c r="M111" s="6">
        <v>508.26498872</v>
      </c>
      <c r="N111" s="6">
        <v>5483.684309</v>
      </c>
      <c r="O111" s="6">
        <v>5486.1299278</v>
      </c>
      <c r="P111" s="6">
        <v>5488.94619192</v>
      </c>
      <c r="Q111" s="6">
        <v>20</v>
      </c>
      <c r="R111" s="6">
        <v>21</v>
      </c>
      <c r="S111" s="6">
        <v>21</v>
      </c>
      <c r="T111" s="6">
        <v>503.6543886065739</v>
      </c>
      <c r="U111" s="6">
        <v>5484.068307252719</v>
      </c>
      <c r="V111" s="6">
        <v>5488.831132259674</v>
      </c>
      <c r="W111" s="4">
        <v>0</v>
      </c>
      <c r="X111" s="4">
        <v>0</v>
      </c>
      <c r="Y111" s="4">
        <v>0</v>
      </c>
      <c r="Z111" s="4" t="s">
        <v>365</v>
      </c>
      <c r="AA111" s="4" t="s">
        <v>366</v>
      </c>
    </row>
    <row r="112" ht="30" customHeight="1" spans="1:27" x14ac:dyDescent="0.25">
      <c r="A112" s="4" t="s">
        <v>146</v>
      </c>
      <c r="B112" s="4" t="s">
        <v>87</v>
      </c>
      <c r="C112" s="4">
        <v>1000</v>
      </c>
      <c r="D112" s="4" t="s">
        <v>79</v>
      </c>
      <c r="E112" s="4">
        <v>14</v>
      </c>
      <c r="F112" s="4">
        <v>62</v>
      </c>
      <c r="G112" s="4">
        <v>3589</v>
      </c>
      <c r="H112" s="4">
        <v>1787</v>
      </c>
      <c r="I112" s="4">
        <v>3387</v>
      </c>
      <c r="J112" s="5">
        <v>0</v>
      </c>
      <c r="K112" s="6">
        <v>503.270689</v>
      </c>
      <c r="L112" s="6">
        <v>505.6409934</v>
      </c>
      <c r="M112" s="6">
        <v>508.166721</v>
      </c>
      <c r="N112" s="6">
        <v>5483.69086</v>
      </c>
      <c r="O112" s="6">
        <v>5486.118588599999</v>
      </c>
      <c r="P112" s="6">
        <v>5488.51619972</v>
      </c>
      <c r="Q112" s="6">
        <v>20</v>
      </c>
      <c r="R112" s="6">
        <v>21</v>
      </c>
      <c r="S112" s="6">
        <v>21</v>
      </c>
      <c r="T112" s="6">
        <v>503.62377994483126</v>
      </c>
      <c r="U112" s="6">
        <v>5484.0480594213</v>
      </c>
      <c r="V112" s="6">
        <v>5488.684787795482</v>
      </c>
      <c r="W112" s="4">
        <v>0</v>
      </c>
      <c r="X112" s="4">
        <v>0</v>
      </c>
      <c r="Y112" s="4">
        <v>0</v>
      </c>
      <c r="Z112" s="4" t="s">
        <v>367</v>
      </c>
      <c r="AA112" s="4" t="s">
        <v>368</v>
      </c>
    </row>
    <row r="113" ht="30" customHeight="1" spans="1:27" x14ac:dyDescent="0.25">
      <c r="A113" s="4" t="s">
        <v>146</v>
      </c>
      <c r="B113" s="4" t="s">
        <v>87</v>
      </c>
      <c r="C113" s="4">
        <v>1000</v>
      </c>
      <c r="D113" s="4" t="s">
        <v>79</v>
      </c>
      <c r="E113" s="4">
        <v>15</v>
      </c>
      <c r="F113" s="4">
        <v>62</v>
      </c>
      <c r="G113" s="4">
        <v>3589</v>
      </c>
      <c r="H113" s="4">
        <v>1766</v>
      </c>
      <c r="I113" s="4">
        <v>3387</v>
      </c>
      <c r="J113" s="5">
        <v>0</v>
      </c>
      <c r="K113" s="6">
        <v>503.286717</v>
      </c>
      <c r="L113" s="6">
        <v>505.6266352</v>
      </c>
      <c r="M113" s="6">
        <v>508.26287332</v>
      </c>
      <c r="N113" s="6">
        <v>5483.804649</v>
      </c>
      <c r="O113" s="6">
        <v>5486.1560676</v>
      </c>
      <c r="P113" s="6">
        <v>5489.00506588</v>
      </c>
      <c r="Q113" s="6">
        <v>20</v>
      </c>
      <c r="R113" s="6">
        <v>21</v>
      </c>
      <c r="S113" s="6">
        <v>21</v>
      </c>
      <c r="T113" s="6">
        <v>503.6398992421275</v>
      </c>
      <c r="U113" s="6">
        <v>5484.105837142949</v>
      </c>
      <c r="V113" s="6">
        <v>5488.760409451934</v>
      </c>
      <c r="W113" s="4">
        <v>0</v>
      </c>
      <c r="X113" s="4">
        <v>0</v>
      </c>
      <c r="Y113" s="4">
        <v>0</v>
      </c>
      <c r="Z113" s="4" t="s">
        <v>369</v>
      </c>
      <c r="AA113" s="4" t="s">
        <v>370</v>
      </c>
    </row>
    <row r="114" ht="30" customHeight="1" spans="1:27" x14ac:dyDescent="0.25">
      <c r="A114" s="4" t="s">
        <v>146</v>
      </c>
      <c r="B114" s="4" t="s">
        <v>87</v>
      </c>
      <c r="C114" s="4">
        <v>2000</v>
      </c>
      <c r="D114" s="4" t="s">
        <v>79</v>
      </c>
      <c r="E114" s="4">
        <v>0</v>
      </c>
      <c r="F114" s="4">
        <v>125</v>
      </c>
      <c r="G114" s="4">
        <v>7235</v>
      </c>
      <c r="H114" s="4">
        <v>3613</v>
      </c>
      <c r="I114" s="4">
        <v>6828</v>
      </c>
      <c r="J114" s="5">
        <v>0</v>
      </c>
      <c r="K114" s="6">
        <v>502.666674</v>
      </c>
      <c r="L114" s="6">
        <v>503.8891552</v>
      </c>
      <c r="M114" s="6">
        <v>505.5013424</v>
      </c>
      <c r="N114" s="6">
        <v>5483.332843</v>
      </c>
      <c r="O114" s="6">
        <v>5484.7445534</v>
      </c>
      <c r="P114" s="6">
        <v>5486.18254638</v>
      </c>
      <c r="Q114" s="6">
        <v>20</v>
      </c>
      <c r="R114" s="6">
        <v>21</v>
      </c>
      <c r="S114" s="6">
        <v>21</v>
      </c>
      <c r="T114" s="6">
        <v>502.72627075438885</v>
      </c>
      <c r="U114" s="6">
        <v>5483.477202138078</v>
      </c>
      <c r="V114" s="6">
        <v>5488.325634143073</v>
      </c>
      <c r="W114" s="4">
        <v>0</v>
      </c>
      <c r="X114" s="4">
        <v>0</v>
      </c>
      <c r="Y114" s="4">
        <v>0</v>
      </c>
      <c r="Z114" s="4" t="s">
        <v>371</v>
      </c>
      <c r="AA114" s="4" t="s">
        <v>372</v>
      </c>
    </row>
    <row r="115" ht="30" customHeight="1" spans="1:27" x14ac:dyDescent="0.25">
      <c r="A115" s="4" t="s">
        <v>146</v>
      </c>
      <c r="B115" s="4" t="s">
        <v>87</v>
      </c>
      <c r="C115" s="4">
        <v>2000</v>
      </c>
      <c r="D115" s="4" t="s">
        <v>79</v>
      </c>
      <c r="E115" s="4">
        <v>1</v>
      </c>
      <c r="F115" s="4">
        <v>125</v>
      </c>
      <c r="G115" s="4">
        <v>7235</v>
      </c>
      <c r="H115" s="4">
        <v>3604</v>
      </c>
      <c r="I115" s="4">
        <v>6828</v>
      </c>
      <c r="J115" s="5">
        <v>0</v>
      </c>
      <c r="K115" s="6">
        <v>502.632027</v>
      </c>
      <c r="L115" s="6">
        <v>503.8903838</v>
      </c>
      <c r="M115" s="6">
        <v>505.39614045999997</v>
      </c>
      <c r="N115" s="6">
        <v>5483.317262</v>
      </c>
      <c r="O115" s="6">
        <v>5484.7202866</v>
      </c>
      <c r="P115" s="6">
        <v>5486.3572121</v>
      </c>
      <c r="Q115" s="6">
        <v>20</v>
      </c>
      <c r="R115" s="6">
        <v>21</v>
      </c>
      <c r="S115" s="6">
        <v>21</v>
      </c>
      <c r="T115" s="6">
        <v>502.80713466703656</v>
      </c>
      <c r="U115" s="6">
        <v>5483.569393886651</v>
      </c>
      <c r="V115" s="6">
        <v>5488.287414695516</v>
      </c>
      <c r="W115" s="4">
        <v>0</v>
      </c>
      <c r="X115" s="4">
        <v>0</v>
      </c>
      <c r="Y115" s="4">
        <v>0</v>
      </c>
      <c r="Z115" s="4" t="s">
        <v>373</v>
      </c>
      <c r="AA115" s="4" t="s">
        <v>374</v>
      </c>
    </row>
    <row r="116" ht="30" customHeight="1" spans="1:27" x14ac:dyDescent="0.25">
      <c r="A116" s="4" t="s">
        <v>146</v>
      </c>
      <c r="B116" s="4" t="s">
        <v>87</v>
      </c>
      <c r="C116" s="4">
        <v>2000</v>
      </c>
      <c r="D116" s="4" t="s">
        <v>79</v>
      </c>
      <c r="E116" s="4">
        <v>2</v>
      </c>
      <c r="F116" s="4">
        <v>125</v>
      </c>
      <c r="G116" s="4">
        <v>7236</v>
      </c>
      <c r="H116" s="4">
        <v>3611</v>
      </c>
      <c r="I116" s="4">
        <v>6828</v>
      </c>
      <c r="J116" s="5">
        <v>0</v>
      </c>
      <c r="K116" s="6">
        <v>502.6590555</v>
      </c>
      <c r="L116" s="6">
        <v>503.863799</v>
      </c>
      <c r="M116" s="6">
        <v>505.6381798</v>
      </c>
      <c r="N116" s="6">
        <v>5483.3413685</v>
      </c>
      <c r="O116" s="6">
        <v>5484.775339</v>
      </c>
      <c r="P116" s="6">
        <v>5486.4375567</v>
      </c>
      <c r="Q116" s="6">
        <v>20</v>
      </c>
      <c r="R116" s="6">
        <v>21</v>
      </c>
      <c r="S116" s="6">
        <v>21</v>
      </c>
      <c r="T116" s="6">
        <v>502.7295877313429</v>
      </c>
      <c r="U116" s="6">
        <v>5483.49205110462</v>
      </c>
      <c r="V116" s="6">
        <v>5488.3376805239195</v>
      </c>
      <c r="W116" s="4">
        <v>0</v>
      </c>
      <c r="X116" s="4">
        <v>0</v>
      </c>
      <c r="Y116" s="4">
        <v>0</v>
      </c>
      <c r="Z116" s="4" t="s">
        <v>375</v>
      </c>
      <c r="AA116" s="4" t="s">
        <v>376</v>
      </c>
    </row>
    <row r="117" ht="30" customHeight="1" spans="1:27" x14ac:dyDescent="0.25">
      <c r="A117" s="4" t="s">
        <v>146</v>
      </c>
      <c r="B117" s="4" t="s">
        <v>87</v>
      </c>
      <c r="C117" s="4">
        <v>2000</v>
      </c>
      <c r="D117" s="4" t="s">
        <v>79</v>
      </c>
      <c r="E117" s="4">
        <v>3</v>
      </c>
      <c r="F117" s="4">
        <v>125</v>
      </c>
      <c r="G117" s="4">
        <v>7236</v>
      </c>
      <c r="H117" s="4">
        <v>3575</v>
      </c>
      <c r="I117" s="4">
        <v>6829</v>
      </c>
      <c r="J117" s="5">
        <v>0</v>
      </c>
      <c r="K117" s="6">
        <v>502.6384465</v>
      </c>
      <c r="L117" s="6">
        <v>503.8825845</v>
      </c>
      <c r="M117" s="6">
        <v>505.57209420000004</v>
      </c>
      <c r="N117" s="6">
        <v>5483.307635499999</v>
      </c>
      <c r="O117" s="6">
        <v>5484.711332999999</v>
      </c>
      <c r="P117" s="6">
        <v>5486.2507482</v>
      </c>
      <c r="Q117" s="6">
        <v>20</v>
      </c>
      <c r="R117" s="6">
        <v>21</v>
      </c>
      <c r="S117" s="6">
        <v>21</v>
      </c>
      <c r="T117" s="6">
        <v>502.71426060751895</v>
      </c>
      <c r="U117" s="6">
        <v>5483.45277579062</v>
      </c>
      <c r="V117" s="6">
        <v>5488.363824390832</v>
      </c>
      <c r="W117" s="4">
        <v>0</v>
      </c>
      <c r="X117" s="4">
        <v>0</v>
      </c>
      <c r="Y117" s="4">
        <v>0</v>
      </c>
      <c r="Z117" s="4" t="s">
        <v>377</v>
      </c>
      <c r="AA117" s="4" t="s">
        <v>378</v>
      </c>
    </row>
    <row r="118" ht="30" customHeight="1" spans="1:27" x14ac:dyDescent="0.25">
      <c r="A118" s="4" t="s">
        <v>146</v>
      </c>
      <c r="B118" s="4" t="s">
        <v>87</v>
      </c>
      <c r="C118" s="4">
        <v>2000</v>
      </c>
      <c r="D118" s="4" t="s">
        <v>79</v>
      </c>
      <c r="E118" s="4">
        <v>4</v>
      </c>
      <c r="F118" s="4">
        <v>125</v>
      </c>
      <c r="G118" s="4">
        <v>7235</v>
      </c>
      <c r="H118" s="4">
        <v>3624</v>
      </c>
      <c r="I118" s="4">
        <v>6828</v>
      </c>
      <c r="J118" s="5">
        <v>0</v>
      </c>
      <c r="K118" s="6">
        <v>502.630545</v>
      </c>
      <c r="L118" s="6">
        <v>503.8569172</v>
      </c>
      <c r="M118" s="6">
        <v>505.36321222000004</v>
      </c>
      <c r="N118" s="6">
        <v>5483.330138</v>
      </c>
      <c r="O118" s="6">
        <v>5484.7193244</v>
      </c>
      <c r="P118" s="6">
        <v>5486.36730132</v>
      </c>
      <c r="Q118" s="6">
        <v>20</v>
      </c>
      <c r="R118" s="6">
        <v>21</v>
      </c>
      <c r="S118" s="6">
        <v>21</v>
      </c>
      <c r="T118" s="6">
        <v>502.70186868596954</v>
      </c>
      <c r="U118" s="6">
        <v>5483.487991865939</v>
      </c>
      <c r="V118" s="6">
        <v>5488.446742405392</v>
      </c>
      <c r="W118" s="4">
        <v>0</v>
      </c>
      <c r="X118" s="4">
        <v>0</v>
      </c>
      <c r="Y118" s="4">
        <v>0</v>
      </c>
      <c r="Z118" s="4" t="s">
        <v>379</v>
      </c>
      <c r="AA118" s="4" t="s">
        <v>380</v>
      </c>
    </row>
    <row r="119" ht="30" customHeight="1" spans="1:27" x14ac:dyDescent="0.25">
      <c r="A119" s="4" t="s">
        <v>146</v>
      </c>
      <c r="B119" s="4" t="s">
        <v>87</v>
      </c>
      <c r="C119" s="4">
        <v>2000</v>
      </c>
      <c r="D119" s="4" t="s">
        <v>79</v>
      </c>
      <c r="E119" s="4">
        <v>5</v>
      </c>
      <c r="F119" s="4">
        <v>125</v>
      </c>
      <c r="G119" s="4">
        <v>7235</v>
      </c>
      <c r="H119" s="4">
        <v>3636</v>
      </c>
      <c r="I119" s="4">
        <v>6828</v>
      </c>
      <c r="J119" s="5">
        <v>0</v>
      </c>
      <c r="K119" s="6">
        <v>502.634072</v>
      </c>
      <c r="L119" s="6">
        <v>503.8919266</v>
      </c>
      <c r="M119" s="6">
        <v>505.4332655</v>
      </c>
      <c r="N119" s="6">
        <v>5483.305051</v>
      </c>
      <c r="O119" s="6">
        <v>5484.7272116</v>
      </c>
      <c r="P119" s="6">
        <v>5486.34227734</v>
      </c>
      <c r="Q119" s="6">
        <v>20</v>
      </c>
      <c r="R119" s="6">
        <v>21</v>
      </c>
      <c r="S119" s="6">
        <v>21</v>
      </c>
      <c r="T119" s="6">
        <v>502.70879762902536</v>
      </c>
      <c r="U119" s="6">
        <v>5483.467951505595</v>
      </c>
      <c r="V119" s="6">
        <v>5488.470086460111</v>
      </c>
      <c r="W119" s="4">
        <v>0</v>
      </c>
      <c r="X119" s="4">
        <v>0</v>
      </c>
      <c r="Y119" s="4">
        <v>0</v>
      </c>
      <c r="Z119" s="4" t="s">
        <v>381</v>
      </c>
      <c r="AA119" s="4" t="s">
        <v>382</v>
      </c>
    </row>
    <row r="120" ht="30" customHeight="1" spans="1:27" x14ac:dyDescent="0.25">
      <c r="A120" s="4" t="s">
        <v>146</v>
      </c>
      <c r="B120" s="4" t="s">
        <v>87</v>
      </c>
      <c r="C120" s="4">
        <v>2000</v>
      </c>
      <c r="D120" s="4" t="s">
        <v>79</v>
      </c>
      <c r="E120" s="4">
        <v>6</v>
      </c>
      <c r="F120" s="4">
        <v>125</v>
      </c>
      <c r="G120" s="4">
        <v>7236</v>
      </c>
      <c r="H120" s="4">
        <v>3641</v>
      </c>
      <c r="I120" s="4">
        <v>6830</v>
      </c>
      <c r="J120" s="5">
        <v>0</v>
      </c>
      <c r="K120" s="6">
        <v>502.644857</v>
      </c>
      <c r="L120" s="6">
        <v>503.89830600000005</v>
      </c>
      <c r="M120" s="6">
        <v>505.39013704999996</v>
      </c>
      <c r="N120" s="6">
        <v>5483.3395135</v>
      </c>
      <c r="O120" s="6">
        <v>5484.7399860000005</v>
      </c>
      <c r="P120" s="6">
        <v>5486.44595485</v>
      </c>
      <c r="Q120" s="6">
        <v>20</v>
      </c>
      <c r="R120" s="6">
        <v>21</v>
      </c>
      <c r="S120" s="6">
        <v>21</v>
      </c>
      <c r="T120" s="6">
        <v>502.7955018056955</v>
      </c>
      <c r="U120" s="6">
        <v>5483.55885559551</v>
      </c>
      <c r="V120" s="6">
        <v>5488.487261332757</v>
      </c>
      <c r="W120" s="4">
        <v>0</v>
      </c>
      <c r="X120" s="4">
        <v>0</v>
      </c>
      <c r="Y120" s="4">
        <v>0</v>
      </c>
      <c r="Z120" s="4" t="s">
        <v>383</v>
      </c>
      <c r="AA120" s="4" t="s">
        <v>384</v>
      </c>
    </row>
    <row r="121" ht="30" customHeight="1" spans="1:27" x14ac:dyDescent="0.25">
      <c r="A121" s="4" t="s">
        <v>146</v>
      </c>
      <c r="B121" s="4" t="s">
        <v>87</v>
      </c>
      <c r="C121" s="4">
        <v>2000</v>
      </c>
      <c r="D121" s="4" t="s">
        <v>79</v>
      </c>
      <c r="E121" s="4">
        <v>7</v>
      </c>
      <c r="F121" s="4">
        <v>125</v>
      </c>
      <c r="G121" s="4">
        <v>7235</v>
      </c>
      <c r="H121" s="4">
        <v>3660</v>
      </c>
      <c r="I121" s="4">
        <v>6828</v>
      </c>
      <c r="J121" s="5">
        <v>0</v>
      </c>
      <c r="K121" s="6">
        <v>502.665706</v>
      </c>
      <c r="L121" s="6">
        <v>503.88526140000005</v>
      </c>
      <c r="M121" s="6">
        <v>505.39073817999997</v>
      </c>
      <c r="N121" s="6">
        <v>5483.318329</v>
      </c>
      <c r="O121" s="6">
        <v>5484.7418603999995</v>
      </c>
      <c r="P121" s="6">
        <v>5486.34290244</v>
      </c>
      <c r="Q121" s="6">
        <v>20</v>
      </c>
      <c r="R121" s="6">
        <v>21</v>
      </c>
      <c r="S121" s="6">
        <v>21</v>
      </c>
      <c r="T121" s="6">
        <v>502.7938442570824</v>
      </c>
      <c r="U121" s="6">
        <v>5483.543989154536</v>
      </c>
      <c r="V121" s="6">
        <v>5488.5596129282485</v>
      </c>
      <c r="W121" s="4">
        <v>0</v>
      </c>
      <c r="X121" s="4">
        <v>0</v>
      </c>
      <c r="Y121" s="4">
        <v>0</v>
      </c>
      <c r="Z121" s="4" t="s">
        <v>385</v>
      </c>
      <c r="AA121" s="4" t="s">
        <v>386</v>
      </c>
    </row>
    <row r="122" ht="30" customHeight="1" spans="1:27" x14ac:dyDescent="0.25">
      <c r="A122" s="4" t="s">
        <v>146</v>
      </c>
      <c r="B122" s="4" t="s">
        <v>87</v>
      </c>
      <c r="C122" s="4">
        <v>2000</v>
      </c>
      <c r="D122" s="4" t="s">
        <v>79</v>
      </c>
      <c r="E122" s="4">
        <v>8</v>
      </c>
      <c r="F122" s="4">
        <v>125</v>
      </c>
      <c r="G122" s="4">
        <v>7235</v>
      </c>
      <c r="H122" s="4">
        <v>3643</v>
      </c>
      <c r="I122" s="4">
        <v>6828</v>
      </c>
      <c r="J122" s="5">
        <v>0</v>
      </c>
      <c r="K122" s="6">
        <v>502.631705</v>
      </c>
      <c r="L122" s="6">
        <v>503.8835802</v>
      </c>
      <c r="M122" s="6">
        <v>505.40563462</v>
      </c>
      <c r="N122" s="6">
        <v>5483.312261</v>
      </c>
      <c r="O122" s="6">
        <v>5484.7497788</v>
      </c>
      <c r="P122" s="6">
        <v>5486.41059078</v>
      </c>
      <c r="Q122" s="6">
        <v>20</v>
      </c>
      <c r="R122" s="6">
        <v>21</v>
      </c>
      <c r="S122" s="6">
        <v>21</v>
      </c>
      <c r="T122" s="6">
        <v>502.7668701342079</v>
      </c>
      <c r="U122" s="6">
        <v>5483.532447968887</v>
      </c>
      <c r="V122" s="6">
        <v>5488.410277071578</v>
      </c>
      <c r="W122" s="4">
        <v>0</v>
      </c>
      <c r="X122" s="4">
        <v>0</v>
      </c>
      <c r="Y122" s="4">
        <v>0</v>
      </c>
      <c r="Z122" s="4" t="s">
        <v>387</v>
      </c>
      <c r="AA122" s="4" t="s">
        <v>388</v>
      </c>
    </row>
    <row r="123" ht="30" customHeight="1" spans="1:27" x14ac:dyDescent="0.25">
      <c r="A123" s="4" t="s">
        <v>146</v>
      </c>
      <c r="B123" s="4" t="s">
        <v>87</v>
      </c>
      <c r="C123" s="4">
        <v>2000</v>
      </c>
      <c r="D123" s="4" t="s">
        <v>79</v>
      </c>
      <c r="E123" s="4">
        <v>9</v>
      </c>
      <c r="F123" s="4">
        <v>125</v>
      </c>
      <c r="G123" s="4">
        <v>7235</v>
      </c>
      <c r="H123" s="4">
        <v>3627</v>
      </c>
      <c r="I123" s="4">
        <v>6828</v>
      </c>
      <c r="J123" s="5">
        <v>0</v>
      </c>
      <c r="K123" s="6">
        <v>502.648349</v>
      </c>
      <c r="L123" s="6">
        <v>503.8739786</v>
      </c>
      <c r="M123" s="6">
        <v>505.30892722</v>
      </c>
      <c r="N123" s="6">
        <v>5483.315275</v>
      </c>
      <c r="O123" s="6">
        <v>5484.7112872</v>
      </c>
      <c r="P123" s="6">
        <v>5486.23011888</v>
      </c>
      <c r="Q123" s="6">
        <v>20</v>
      </c>
      <c r="R123" s="6">
        <v>21</v>
      </c>
      <c r="S123" s="6">
        <v>21</v>
      </c>
      <c r="T123" s="6">
        <v>502.7851435333798</v>
      </c>
      <c r="U123" s="6">
        <v>5483.52697917376</v>
      </c>
      <c r="V123" s="6">
        <v>5488.298987107942</v>
      </c>
      <c r="W123" s="4">
        <v>0</v>
      </c>
      <c r="X123" s="4">
        <v>0</v>
      </c>
      <c r="Y123" s="4">
        <v>0</v>
      </c>
      <c r="Z123" s="4" t="s">
        <v>389</v>
      </c>
      <c r="AA123" s="4" t="s">
        <v>390</v>
      </c>
    </row>
    <row r="124" ht="30" customHeight="1" spans="1:27" x14ac:dyDescent="0.25">
      <c r="A124" s="4" t="s">
        <v>146</v>
      </c>
      <c r="B124" s="4" t="s">
        <v>87</v>
      </c>
      <c r="C124" s="4">
        <v>2000</v>
      </c>
      <c r="D124" s="4" t="s">
        <v>79</v>
      </c>
      <c r="E124" s="4">
        <v>10</v>
      </c>
      <c r="F124" s="4">
        <v>125</v>
      </c>
      <c r="G124" s="4">
        <v>7235</v>
      </c>
      <c r="H124" s="4">
        <v>3515</v>
      </c>
      <c r="I124" s="4">
        <v>6828</v>
      </c>
      <c r="J124" s="5">
        <v>0</v>
      </c>
      <c r="K124" s="6">
        <v>502.631565</v>
      </c>
      <c r="L124" s="6">
        <v>503.8462662</v>
      </c>
      <c r="M124" s="6">
        <v>505.490404</v>
      </c>
      <c r="N124" s="6">
        <v>5483.31621</v>
      </c>
      <c r="O124" s="6">
        <v>5484.7434816</v>
      </c>
      <c r="P124" s="6">
        <v>5486.40837566</v>
      </c>
      <c r="Q124" s="6">
        <v>20</v>
      </c>
      <c r="R124" s="6">
        <v>21</v>
      </c>
      <c r="S124" s="6">
        <v>21</v>
      </c>
      <c r="T124" s="6">
        <v>502.7581660139589</v>
      </c>
      <c r="U124" s="6">
        <v>5483.534984380931</v>
      </c>
      <c r="V124" s="6">
        <v>5488.320475685706</v>
      </c>
      <c r="W124" s="4">
        <v>0</v>
      </c>
      <c r="X124" s="4">
        <v>0</v>
      </c>
      <c r="Y124" s="4">
        <v>0</v>
      </c>
      <c r="Z124" s="4" t="s">
        <v>391</v>
      </c>
      <c r="AA124" s="4" t="s">
        <v>392</v>
      </c>
    </row>
    <row r="125" ht="30" customHeight="1" spans="1:27" x14ac:dyDescent="0.25">
      <c r="A125" s="4" t="s">
        <v>146</v>
      </c>
      <c r="B125" s="4" t="s">
        <v>87</v>
      </c>
      <c r="C125" s="4">
        <v>2000</v>
      </c>
      <c r="D125" s="4" t="s">
        <v>79</v>
      </c>
      <c r="E125" s="4">
        <v>11</v>
      </c>
      <c r="F125" s="4">
        <v>125</v>
      </c>
      <c r="G125" s="4">
        <v>7235</v>
      </c>
      <c r="H125" s="4">
        <v>3585</v>
      </c>
      <c r="I125" s="4">
        <v>6828</v>
      </c>
      <c r="J125" s="5">
        <v>0</v>
      </c>
      <c r="K125" s="6">
        <v>502.632472</v>
      </c>
      <c r="L125" s="6">
        <v>503.87195460000004</v>
      </c>
      <c r="M125" s="6">
        <v>505.4843394</v>
      </c>
      <c r="N125" s="6">
        <v>5483.325061</v>
      </c>
      <c r="O125" s="6">
        <v>5484.6963598</v>
      </c>
      <c r="P125" s="6">
        <v>5486.41228682</v>
      </c>
      <c r="Q125" s="6">
        <v>20</v>
      </c>
      <c r="R125" s="6">
        <v>21</v>
      </c>
      <c r="S125" s="6">
        <v>21</v>
      </c>
      <c r="T125" s="6">
        <v>502.7084725611612</v>
      </c>
      <c r="U125" s="6">
        <v>5483.485535921769</v>
      </c>
      <c r="V125" s="6">
        <v>5488.327998596813</v>
      </c>
      <c r="W125" s="4">
        <v>0</v>
      </c>
      <c r="X125" s="4">
        <v>0</v>
      </c>
      <c r="Y125" s="4">
        <v>0</v>
      </c>
      <c r="Z125" s="4" t="s">
        <v>393</v>
      </c>
      <c r="AA125" s="4" t="s">
        <v>394</v>
      </c>
    </row>
    <row r="126" ht="30" customHeight="1" spans="1:27" x14ac:dyDescent="0.25">
      <c r="A126" s="4" t="s">
        <v>146</v>
      </c>
      <c r="B126" s="4" t="s">
        <v>87</v>
      </c>
      <c r="C126" s="4">
        <v>2000</v>
      </c>
      <c r="D126" s="4" t="s">
        <v>79</v>
      </c>
      <c r="E126" s="4">
        <v>12</v>
      </c>
      <c r="F126" s="4">
        <v>125</v>
      </c>
      <c r="G126" s="4">
        <v>7237</v>
      </c>
      <c r="H126" s="4">
        <v>3695</v>
      </c>
      <c r="I126" s="4">
        <v>6829</v>
      </c>
      <c r="J126" s="5">
        <v>0</v>
      </c>
      <c r="K126" s="6">
        <v>502.649705</v>
      </c>
      <c r="L126" s="6">
        <v>503.9154686</v>
      </c>
      <c r="M126" s="6">
        <v>505.48338336</v>
      </c>
      <c r="N126" s="6">
        <v>5483.30899</v>
      </c>
      <c r="O126" s="6">
        <v>5484.7089983999995</v>
      </c>
      <c r="P126" s="6">
        <v>5486.38666104</v>
      </c>
      <c r="Q126" s="6">
        <v>20</v>
      </c>
      <c r="R126" s="6">
        <v>21</v>
      </c>
      <c r="S126" s="6">
        <v>21</v>
      </c>
      <c r="T126" s="6">
        <v>502.74411231725855</v>
      </c>
      <c r="U126" s="6">
        <v>5483.479027554231</v>
      </c>
      <c r="V126" s="6">
        <v>5488.54442553034</v>
      </c>
      <c r="W126" s="4">
        <v>0</v>
      </c>
      <c r="X126" s="4">
        <v>0</v>
      </c>
      <c r="Y126" s="4">
        <v>0</v>
      </c>
      <c r="Z126" s="4" t="s">
        <v>395</v>
      </c>
      <c r="AA126" s="4" t="s">
        <v>396</v>
      </c>
    </row>
    <row r="127" ht="30" customHeight="1" spans="1:27" x14ac:dyDescent="0.25">
      <c r="A127" s="4" t="s">
        <v>146</v>
      </c>
      <c r="B127" s="4" t="s">
        <v>87</v>
      </c>
      <c r="C127" s="4">
        <v>2000</v>
      </c>
      <c r="D127" s="4" t="s">
        <v>79</v>
      </c>
      <c r="E127" s="4">
        <v>13</v>
      </c>
      <c r="F127" s="4">
        <v>125</v>
      </c>
      <c r="G127" s="4">
        <v>7236</v>
      </c>
      <c r="H127" s="4">
        <v>3610</v>
      </c>
      <c r="I127" s="4">
        <v>6828</v>
      </c>
      <c r="J127" s="5">
        <v>0</v>
      </c>
      <c r="K127" s="6">
        <v>502.6354515</v>
      </c>
      <c r="L127" s="6">
        <v>503.82489050000004</v>
      </c>
      <c r="M127" s="6">
        <v>505.50704845</v>
      </c>
      <c r="N127" s="6">
        <v>5483.3455935</v>
      </c>
      <c r="O127" s="6">
        <v>5484.789663</v>
      </c>
      <c r="P127" s="6">
        <v>5486.44508935</v>
      </c>
      <c r="Q127" s="6">
        <v>20</v>
      </c>
      <c r="R127" s="6">
        <v>21</v>
      </c>
      <c r="S127" s="6">
        <v>21</v>
      </c>
      <c r="T127" s="6">
        <v>502.709507899254</v>
      </c>
      <c r="U127" s="6">
        <v>5483.508802317706</v>
      </c>
      <c r="V127" s="6">
        <v>5488.453361971398</v>
      </c>
      <c r="W127" s="4">
        <v>0</v>
      </c>
      <c r="X127" s="4">
        <v>0</v>
      </c>
      <c r="Y127" s="4">
        <v>0</v>
      </c>
      <c r="Z127" s="4" t="s">
        <v>397</v>
      </c>
      <c r="AA127" s="4" t="s">
        <v>398</v>
      </c>
    </row>
    <row r="128" ht="30" customHeight="1" spans="1:27" x14ac:dyDescent="0.25">
      <c r="A128" s="4" t="s">
        <v>146</v>
      </c>
      <c r="B128" s="4" t="s">
        <v>87</v>
      </c>
      <c r="C128" s="4">
        <v>2000</v>
      </c>
      <c r="D128" s="4" t="s">
        <v>79</v>
      </c>
      <c r="E128" s="4">
        <v>14</v>
      </c>
      <c r="F128" s="4">
        <v>125</v>
      </c>
      <c r="G128" s="4">
        <v>7237</v>
      </c>
      <c r="H128" s="4">
        <v>3576</v>
      </c>
      <c r="I128" s="4">
        <v>6830</v>
      </c>
      <c r="J128" s="5">
        <v>0</v>
      </c>
      <c r="K128" s="6">
        <v>502.640977</v>
      </c>
      <c r="L128" s="6">
        <v>503.89330720000004</v>
      </c>
      <c r="M128" s="6">
        <v>505.38043011999997</v>
      </c>
      <c r="N128" s="6">
        <v>5483.304402</v>
      </c>
      <c r="O128" s="6">
        <v>5484.6991964</v>
      </c>
      <c r="P128" s="6">
        <v>5486.2517936799995</v>
      </c>
      <c r="Q128" s="6">
        <v>20</v>
      </c>
      <c r="R128" s="6">
        <v>21</v>
      </c>
      <c r="S128" s="6">
        <v>21</v>
      </c>
      <c r="T128" s="6">
        <v>502.70250536258106</v>
      </c>
      <c r="U128" s="6">
        <v>5483.46827632096</v>
      </c>
      <c r="V128" s="6">
        <v>5488.286027918629</v>
      </c>
      <c r="W128" s="4">
        <v>0</v>
      </c>
      <c r="X128" s="4">
        <v>0</v>
      </c>
      <c r="Y128" s="4">
        <v>0</v>
      </c>
      <c r="Z128" s="4" t="s">
        <v>399</v>
      </c>
      <c r="AA128" s="4" t="s">
        <v>400</v>
      </c>
    </row>
    <row r="129" ht="30" customHeight="1" spans="1:27" x14ac:dyDescent="0.25">
      <c r="A129" s="4" t="s">
        <v>146</v>
      </c>
      <c r="B129" s="4" t="s">
        <v>87</v>
      </c>
      <c r="C129" s="4">
        <v>2000</v>
      </c>
      <c r="D129" s="4" t="s">
        <v>79</v>
      </c>
      <c r="E129" s="4">
        <v>15</v>
      </c>
      <c r="F129" s="4">
        <v>125</v>
      </c>
      <c r="G129" s="4">
        <v>7237</v>
      </c>
      <c r="H129" s="4">
        <v>3681</v>
      </c>
      <c r="I129" s="4">
        <v>6830</v>
      </c>
      <c r="J129" s="5">
        <v>0</v>
      </c>
      <c r="K129" s="6">
        <v>502.645799</v>
      </c>
      <c r="L129" s="6">
        <v>503.91250119999995</v>
      </c>
      <c r="M129" s="6">
        <v>505.33699284</v>
      </c>
      <c r="N129" s="6">
        <v>5483.339575</v>
      </c>
      <c r="O129" s="6">
        <v>5484.788439</v>
      </c>
      <c r="P129" s="6">
        <v>5486.29605784</v>
      </c>
      <c r="Q129" s="6">
        <v>20</v>
      </c>
      <c r="R129" s="6">
        <v>21</v>
      </c>
      <c r="S129" s="6">
        <v>21</v>
      </c>
      <c r="T129" s="6">
        <v>502.7191613345315</v>
      </c>
      <c r="U129" s="6">
        <v>5483.494328431252</v>
      </c>
      <c r="V129" s="6">
        <v>5488.415060048221</v>
      </c>
      <c r="W129" s="4">
        <v>0</v>
      </c>
      <c r="X129" s="4">
        <v>0</v>
      </c>
      <c r="Y129" s="4">
        <v>0</v>
      </c>
      <c r="Z129" s="4" t="s">
        <v>401</v>
      </c>
      <c r="AA129" s="4" t="s">
        <v>402</v>
      </c>
    </row>
    <row r="130" ht="30" customHeight="1" spans="1:27" x14ac:dyDescent="0.25">
      <c r="A130" s="4" t="s">
        <v>146</v>
      </c>
      <c r="B130" s="4" t="s">
        <v>87</v>
      </c>
      <c r="C130" s="4">
        <v>5000</v>
      </c>
      <c r="D130" s="4" t="s">
        <v>79</v>
      </c>
      <c r="E130" s="4">
        <v>0</v>
      </c>
      <c r="F130" s="4">
        <v>313</v>
      </c>
      <c r="G130" s="4">
        <v>18118</v>
      </c>
      <c r="H130" s="4">
        <v>9121</v>
      </c>
      <c r="I130" s="4">
        <v>17100</v>
      </c>
      <c r="J130" s="5">
        <v>0</v>
      </c>
      <c r="K130" s="6">
        <v>501.843596</v>
      </c>
      <c r="L130" s="6">
        <v>502.7168037</v>
      </c>
      <c r="M130" s="6">
        <v>503.7419447</v>
      </c>
      <c r="N130" s="6">
        <v>5483.0715155</v>
      </c>
      <c r="O130" s="6">
        <v>5484.0011127</v>
      </c>
      <c r="P130" s="6">
        <v>5485.22214491</v>
      </c>
      <c r="Q130" s="6">
        <v>20</v>
      </c>
      <c r="R130" s="6">
        <v>21</v>
      </c>
      <c r="S130" s="6">
        <v>21</v>
      </c>
      <c r="T130" s="6">
        <v>502.05387633359254</v>
      </c>
      <c r="U130" s="6">
        <v>5483.284434214176</v>
      </c>
      <c r="V130" s="6">
        <v>5488.690489220932</v>
      </c>
      <c r="W130" s="4">
        <v>0</v>
      </c>
      <c r="X130" s="4">
        <v>0</v>
      </c>
      <c r="Y130" s="4">
        <v>0</v>
      </c>
      <c r="Z130" s="4" t="s">
        <v>403</v>
      </c>
      <c r="AA130" s="4" t="s">
        <v>404</v>
      </c>
    </row>
    <row r="131" ht="30" customHeight="1" spans="1:27" x14ac:dyDescent="0.25">
      <c r="A131" s="4" t="s">
        <v>146</v>
      </c>
      <c r="B131" s="4" t="s">
        <v>87</v>
      </c>
      <c r="C131" s="4">
        <v>5000</v>
      </c>
      <c r="D131" s="4" t="s">
        <v>79</v>
      </c>
      <c r="E131" s="4">
        <v>1</v>
      </c>
      <c r="F131" s="4">
        <v>313</v>
      </c>
      <c r="G131" s="4">
        <v>18119</v>
      </c>
      <c r="H131" s="4">
        <v>9165</v>
      </c>
      <c r="I131" s="4">
        <v>17102</v>
      </c>
      <c r="J131" s="5">
        <v>0</v>
      </c>
      <c r="K131" s="6">
        <v>501.846441</v>
      </c>
      <c r="L131" s="6">
        <v>502.7412352</v>
      </c>
      <c r="M131" s="6">
        <v>503.74054484</v>
      </c>
      <c r="N131" s="6">
        <v>5483.046072</v>
      </c>
      <c r="O131" s="6">
        <v>5483.962957199999</v>
      </c>
      <c r="P131" s="6">
        <v>5485.22092906</v>
      </c>
      <c r="Q131" s="6">
        <v>20</v>
      </c>
      <c r="R131" s="6">
        <v>21</v>
      </c>
      <c r="S131" s="6">
        <v>21</v>
      </c>
      <c r="T131" s="6">
        <v>501.99205478586236</v>
      </c>
      <c r="U131" s="6">
        <v>5483.1948704400465</v>
      </c>
      <c r="V131" s="6">
        <v>5488.638745704421</v>
      </c>
      <c r="W131" s="4">
        <v>0</v>
      </c>
      <c r="X131" s="4">
        <v>0</v>
      </c>
      <c r="Y131" s="4">
        <v>0</v>
      </c>
      <c r="Z131" s="4" t="s">
        <v>405</v>
      </c>
      <c r="AA131" s="4" t="s">
        <v>406</v>
      </c>
    </row>
    <row r="132" ht="30" customHeight="1" spans="1:27" x14ac:dyDescent="0.25">
      <c r="A132" s="4" t="s">
        <v>146</v>
      </c>
      <c r="B132" s="4" t="s">
        <v>87</v>
      </c>
      <c r="C132" s="4">
        <v>5000</v>
      </c>
      <c r="D132" s="4" t="s">
        <v>79</v>
      </c>
      <c r="E132" s="4">
        <v>2</v>
      </c>
      <c r="F132" s="4">
        <v>313</v>
      </c>
      <c r="G132" s="4">
        <v>18116</v>
      </c>
      <c r="H132" s="4">
        <v>8978</v>
      </c>
      <c r="I132" s="4">
        <v>17098</v>
      </c>
      <c r="J132" s="5">
        <v>0</v>
      </c>
      <c r="K132" s="6">
        <v>501.8431825</v>
      </c>
      <c r="L132" s="6">
        <v>502.74131</v>
      </c>
      <c r="M132" s="6">
        <v>503.72099085</v>
      </c>
      <c r="N132" s="6">
        <v>5483.06727</v>
      </c>
      <c r="O132" s="6">
        <v>5483.993791999999</v>
      </c>
      <c r="P132" s="6">
        <v>5485.1564338</v>
      </c>
      <c r="Q132" s="6">
        <v>20</v>
      </c>
      <c r="R132" s="6">
        <v>21</v>
      </c>
      <c r="S132" s="6">
        <v>21</v>
      </c>
      <c r="T132" s="6">
        <v>501.97280656518956</v>
      </c>
      <c r="U132" s="6">
        <v>5483.195604371109</v>
      </c>
      <c r="V132" s="6">
        <v>5488.510145534893</v>
      </c>
      <c r="W132" s="4">
        <v>0</v>
      </c>
      <c r="X132" s="4">
        <v>0</v>
      </c>
      <c r="Y132" s="4">
        <v>0</v>
      </c>
      <c r="Z132" s="4" t="s">
        <v>407</v>
      </c>
      <c r="AA132" s="4" t="s">
        <v>408</v>
      </c>
    </row>
    <row r="133" ht="30" customHeight="1" spans="1:27" x14ac:dyDescent="0.25">
      <c r="A133" s="4" t="s">
        <v>146</v>
      </c>
      <c r="B133" s="4" t="s">
        <v>87</v>
      </c>
      <c r="C133" s="4">
        <v>5000</v>
      </c>
      <c r="D133" s="4" t="s">
        <v>79</v>
      </c>
      <c r="E133" s="4">
        <v>3</v>
      </c>
      <c r="F133" s="4">
        <v>313</v>
      </c>
      <c r="G133" s="4">
        <v>18117</v>
      </c>
      <c r="H133" s="4">
        <v>8958</v>
      </c>
      <c r="I133" s="4">
        <v>17099</v>
      </c>
      <c r="J133" s="5">
        <v>0</v>
      </c>
      <c r="K133" s="6">
        <v>501.859589</v>
      </c>
      <c r="L133" s="6">
        <v>502.7403324</v>
      </c>
      <c r="M133" s="6">
        <v>503.79926896</v>
      </c>
      <c r="N133" s="6">
        <v>5483.07083</v>
      </c>
      <c r="O133" s="6">
        <v>5484.003872599999</v>
      </c>
      <c r="P133" s="6">
        <v>5485.133610360001</v>
      </c>
      <c r="Q133" s="6">
        <v>20</v>
      </c>
      <c r="R133" s="6">
        <v>21</v>
      </c>
      <c r="S133" s="6">
        <v>21</v>
      </c>
      <c r="T133" s="6">
        <v>501.9588215277906</v>
      </c>
      <c r="U133" s="6">
        <v>5483.174211804854</v>
      </c>
      <c r="V133" s="6">
        <v>5488.457207723169</v>
      </c>
      <c r="W133" s="4">
        <v>0</v>
      </c>
      <c r="X133" s="4">
        <v>0</v>
      </c>
      <c r="Y133" s="4">
        <v>0</v>
      </c>
      <c r="Z133" s="4" t="s">
        <v>409</v>
      </c>
      <c r="AA133" s="4" t="s">
        <v>410</v>
      </c>
    </row>
    <row r="134" ht="30" customHeight="1" spans="1:27" x14ac:dyDescent="0.25">
      <c r="A134" s="4" t="s">
        <v>146</v>
      </c>
      <c r="B134" s="4" t="s">
        <v>87</v>
      </c>
      <c r="C134" s="4">
        <v>5000</v>
      </c>
      <c r="D134" s="4" t="s">
        <v>79</v>
      </c>
      <c r="E134" s="4">
        <v>4</v>
      </c>
      <c r="F134" s="4">
        <v>313</v>
      </c>
      <c r="G134" s="4">
        <v>18116</v>
      </c>
      <c r="H134" s="4">
        <v>9162</v>
      </c>
      <c r="I134" s="4">
        <v>17100</v>
      </c>
      <c r="J134" s="5">
        <v>0</v>
      </c>
      <c r="K134" s="6">
        <v>501.85587499999997</v>
      </c>
      <c r="L134" s="6">
        <v>502.74174500000004</v>
      </c>
      <c r="M134" s="6">
        <v>503.73968295000003</v>
      </c>
      <c r="N134" s="6">
        <v>5483.086374</v>
      </c>
      <c r="O134" s="6">
        <v>5484.00937</v>
      </c>
      <c r="P134" s="6">
        <v>5485.30731045</v>
      </c>
      <c r="Q134" s="6">
        <v>20</v>
      </c>
      <c r="R134" s="6">
        <v>21</v>
      </c>
      <c r="S134" s="6">
        <v>21</v>
      </c>
      <c r="T134" s="6">
        <v>501.9867939961924</v>
      </c>
      <c r="U134" s="6">
        <v>5483.220828192085</v>
      </c>
      <c r="V134" s="6">
        <v>5488.664981366343</v>
      </c>
      <c r="W134" s="4">
        <v>0</v>
      </c>
      <c r="X134" s="4">
        <v>0</v>
      </c>
      <c r="Y134" s="4">
        <v>0</v>
      </c>
      <c r="Z134" s="4" t="s">
        <v>411</v>
      </c>
      <c r="AA134" s="4" t="s">
        <v>412</v>
      </c>
    </row>
    <row r="135" ht="30" customHeight="1" spans="1:27" x14ac:dyDescent="0.25">
      <c r="A135" s="4" t="s">
        <v>146</v>
      </c>
      <c r="B135" s="4" t="s">
        <v>87</v>
      </c>
      <c r="C135" s="4">
        <v>5000</v>
      </c>
      <c r="D135" s="4" t="s">
        <v>79</v>
      </c>
      <c r="E135" s="4">
        <v>5</v>
      </c>
      <c r="F135" s="4">
        <v>313</v>
      </c>
      <c r="G135" s="4">
        <v>18119</v>
      </c>
      <c r="H135" s="4">
        <v>9074</v>
      </c>
      <c r="I135" s="4">
        <v>17101</v>
      </c>
      <c r="J135" s="5">
        <v>0</v>
      </c>
      <c r="K135" s="6">
        <v>501.872689</v>
      </c>
      <c r="L135" s="6">
        <v>502.7368876</v>
      </c>
      <c r="M135" s="6">
        <v>503.67458562</v>
      </c>
      <c r="N135" s="6">
        <v>5483.075721</v>
      </c>
      <c r="O135" s="6">
        <v>5484.0018508</v>
      </c>
      <c r="P135" s="6">
        <v>5485.17204554</v>
      </c>
      <c r="Q135" s="6">
        <v>20</v>
      </c>
      <c r="R135" s="6">
        <v>21</v>
      </c>
      <c r="S135" s="6">
        <v>21</v>
      </c>
      <c r="T135" s="6">
        <v>502.0014001927809</v>
      </c>
      <c r="U135" s="6">
        <v>5483.209622181898</v>
      </c>
      <c r="V135" s="6">
        <v>5488.520720870632</v>
      </c>
      <c r="W135" s="4">
        <v>0</v>
      </c>
      <c r="X135" s="4">
        <v>0</v>
      </c>
      <c r="Y135" s="4">
        <v>0</v>
      </c>
      <c r="Z135" s="4" t="s">
        <v>413</v>
      </c>
      <c r="AA135" s="4" t="s">
        <v>414</v>
      </c>
    </row>
    <row r="136" ht="30" customHeight="1" spans="1:27" x14ac:dyDescent="0.25">
      <c r="A136" s="4" t="s">
        <v>146</v>
      </c>
      <c r="B136" s="4" t="s">
        <v>87</v>
      </c>
      <c r="C136" s="4">
        <v>5000</v>
      </c>
      <c r="D136" s="4" t="s">
        <v>79</v>
      </c>
      <c r="E136" s="4">
        <v>6</v>
      </c>
      <c r="F136" s="4">
        <v>313</v>
      </c>
      <c r="G136" s="4">
        <v>18118</v>
      </c>
      <c r="H136" s="4">
        <v>9035</v>
      </c>
      <c r="I136" s="4">
        <v>17100</v>
      </c>
      <c r="J136" s="5">
        <v>0</v>
      </c>
      <c r="K136" s="6">
        <v>501.856983</v>
      </c>
      <c r="L136" s="6">
        <v>502.7705504</v>
      </c>
      <c r="M136" s="6">
        <v>503.74474431</v>
      </c>
      <c r="N136" s="6">
        <v>5483.076233</v>
      </c>
      <c r="O136" s="6">
        <v>5484.0056238</v>
      </c>
      <c r="P136" s="6">
        <v>5485.23447976</v>
      </c>
      <c r="Q136" s="6">
        <v>20</v>
      </c>
      <c r="R136" s="6">
        <v>21</v>
      </c>
      <c r="S136" s="6">
        <v>21</v>
      </c>
      <c r="T136" s="6">
        <v>502.05187103201354</v>
      </c>
      <c r="U136" s="6">
        <v>5483.262639714734</v>
      </c>
      <c r="V136" s="6">
        <v>5488.579368902169</v>
      </c>
      <c r="W136" s="4">
        <v>0</v>
      </c>
      <c r="X136" s="4">
        <v>0</v>
      </c>
      <c r="Y136" s="4">
        <v>0</v>
      </c>
      <c r="Z136" s="4" t="s">
        <v>415</v>
      </c>
      <c r="AA136" s="4" t="s">
        <v>416</v>
      </c>
    </row>
    <row r="137" ht="30" customHeight="1" spans="1:27" x14ac:dyDescent="0.25">
      <c r="A137" s="4" t="s">
        <v>146</v>
      </c>
      <c r="B137" s="4" t="s">
        <v>87</v>
      </c>
      <c r="C137" s="4">
        <v>5000</v>
      </c>
      <c r="D137" s="4" t="s">
        <v>79</v>
      </c>
      <c r="E137" s="4">
        <v>7</v>
      </c>
      <c r="F137" s="4">
        <v>313</v>
      </c>
      <c r="G137" s="4">
        <v>18116</v>
      </c>
      <c r="H137" s="4">
        <v>9045</v>
      </c>
      <c r="I137" s="4">
        <v>17098</v>
      </c>
      <c r="J137" s="5">
        <v>0</v>
      </c>
      <c r="K137" s="6">
        <v>501.85013200000003</v>
      </c>
      <c r="L137" s="6">
        <v>502.73917900000004</v>
      </c>
      <c r="M137" s="6">
        <v>503.67927865</v>
      </c>
      <c r="N137" s="6">
        <v>5483.051208999999</v>
      </c>
      <c r="O137" s="6">
        <v>5483.975643</v>
      </c>
      <c r="P137" s="6">
        <v>5485.24484835</v>
      </c>
      <c r="Q137" s="6">
        <v>20</v>
      </c>
      <c r="R137" s="6">
        <v>21</v>
      </c>
      <c r="S137" s="6">
        <v>21</v>
      </c>
      <c r="T137" s="6">
        <v>501.9686651392124</v>
      </c>
      <c r="U137" s="6">
        <v>5483.185582805251</v>
      </c>
      <c r="V137" s="6">
        <v>5488.4873136357055</v>
      </c>
      <c r="W137" s="4">
        <v>0</v>
      </c>
      <c r="X137" s="4">
        <v>0</v>
      </c>
      <c r="Y137" s="4">
        <v>0</v>
      </c>
      <c r="Z137" s="4" t="s">
        <v>417</v>
      </c>
      <c r="AA137" s="4" t="s">
        <v>418</v>
      </c>
    </row>
    <row r="138" ht="30" customHeight="1" spans="1:27" x14ac:dyDescent="0.25">
      <c r="A138" s="4" t="s">
        <v>146</v>
      </c>
      <c r="B138" s="4" t="s">
        <v>87</v>
      </c>
      <c r="C138" s="4">
        <v>5000</v>
      </c>
      <c r="D138" s="4" t="s">
        <v>79</v>
      </c>
      <c r="E138" s="4">
        <v>8</v>
      </c>
      <c r="F138" s="4">
        <v>312</v>
      </c>
      <c r="G138" s="4">
        <v>18061</v>
      </c>
      <c r="H138" s="4">
        <v>8987</v>
      </c>
      <c r="I138" s="4">
        <v>17045</v>
      </c>
      <c r="J138" s="5">
        <v>0</v>
      </c>
      <c r="K138" s="6">
        <v>501.87363</v>
      </c>
      <c r="L138" s="6">
        <v>502.767296</v>
      </c>
      <c r="M138" s="6">
        <v>503.767796</v>
      </c>
      <c r="N138" s="6">
        <v>5483.064878</v>
      </c>
      <c r="O138" s="6">
        <v>5484.005028</v>
      </c>
      <c r="P138" s="6">
        <v>5485.2153436</v>
      </c>
      <c r="Q138" s="6">
        <v>20</v>
      </c>
      <c r="R138" s="6">
        <v>21</v>
      </c>
      <c r="S138" s="6">
        <v>21</v>
      </c>
      <c r="T138" s="6">
        <v>502.02226933829803</v>
      </c>
      <c r="U138" s="6">
        <v>5483.223487358452</v>
      </c>
      <c r="V138" s="6">
        <v>5488.486464661153</v>
      </c>
      <c r="W138" s="4">
        <v>0</v>
      </c>
      <c r="X138" s="4">
        <v>0</v>
      </c>
      <c r="Y138" s="4">
        <v>0</v>
      </c>
      <c r="Z138" s="4" t="s">
        <v>419</v>
      </c>
      <c r="AA138" s="4" t="s">
        <v>420</v>
      </c>
    </row>
    <row r="139" ht="30" customHeight="1" spans="1:27" x14ac:dyDescent="0.25">
      <c r="A139" s="4" t="s">
        <v>146</v>
      </c>
      <c r="B139" s="4" t="s">
        <v>87</v>
      </c>
      <c r="C139" s="4">
        <v>5000</v>
      </c>
      <c r="D139" s="4" t="s">
        <v>79</v>
      </c>
      <c r="E139" s="4">
        <v>9</v>
      </c>
      <c r="F139" s="4">
        <v>312</v>
      </c>
      <c r="G139" s="4">
        <v>18060</v>
      </c>
      <c r="H139" s="4">
        <v>8997</v>
      </c>
      <c r="I139" s="4">
        <v>17043</v>
      </c>
      <c r="J139" s="5">
        <v>0</v>
      </c>
      <c r="K139" s="6">
        <v>501.8556585</v>
      </c>
      <c r="L139" s="6">
        <v>502.7637833</v>
      </c>
      <c r="M139" s="6">
        <v>503.73237025000003</v>
      </c>
      <c r="N139" s="6">
        <v>5483.068529</v>
      </c>
      <c r="O139" s="6">
        <v>5484.0055512</v>
      </c>
      <c r="P139" s="6">
        <v>5485.233924720001</v>
      </c>
      <c r="Q139" s="6">
        <v>20</v>
      </c>
      <c r="R139" s="6">
        <v>21</v>
      </c>
      <c r="S139" s="6">
        <v>21</v>
      </c>
      <c r="T139" s="6">
        <v>501.9790528101336</v>
      </c>
      <c r="U139" s="6">
        <v>5483.194270492987</v>
      </c>
      <c r="V139" s="6">
        <v>5488.517742498002</v>
      </c>
      <c r="W139" s="4">
        <v>0</v>
      </c>
      <c r="X139" s="4">
        <v>0</v>
      </c>
      <c r="Y139" s="4">
        <v>0</v>
      </c>
      <c r="Z139" s="4" t="s">
        <v>421</v>
      </c>
      <c r="AA139" s="4" t="s">
        <v>422</v>
      </c>
    </row>
    <row r="140" ht="30" customHeight="1" spans="1:27" x14ac:dyDescent="0.25">
      <c r="A140" s="4" t="s">
        <v>146</v>
      </c>
      <c r="B140" s="4" t="s">
        <v>87</v>
      </c>
      <c r="C140" s="4">
        <v>5000</v>
      </c>
      <c r="D140" s="4" t="s">
        <v>79</v>
      </c>
      <c r="E140" s="4">
        <v>10</v>
      </c>
      <c r="F140" s="4">
        <v>312</v>
      </c>
      <c r="G140" s="4">
        <v>18058</v>
      </c>
      <c r="H140" s="4">
        <v>9115</v>
      </c>
      <c r="I140" s="4">
        <v>17041</v>
      </c>
      <c r="J140" s="5">
        <v>0</v>
      </c>
      <c r="K140" s="6">
        <v>501.855247</v>
      </c>
      <c r="L140" s="6">
        <v>502.7628649</v>
      </c>
      <c r="M140" s="6">
        <v>503.74537321</v>
      </c>
      <c r="N140" s="6">
        <v>5483.0728765</v>
      </c>
      <c r="O140" s="6">
        <v>5484.003867099999</v>
      </c>
      <c r="P140" s="6">
        <v>5485.38755614</v>
      </c>
      <c r="Q140" s="6">
        <v>20</v>
      </c>
      <c r="R140" s="6">
        <v>21</v>
      </c>
      <c r="S140" s="6">
        <v>21</v>
      </c>
      <c r="T140" s="6">
        <v>501.9601080670041</v>
      </c>
      <c r="U140" s="6">
        <v>5483.181633772786</v>
      </c>
      <c r="V140" s="6">
        <v>5488.519146638066</v>
      </c>
      <c r="W140" s="4">
        <v>0</v>
      </c>
      <c r="X140" s="4">
        <v>0</v>
      </c>
      <c r="Y140" s="4">
        <v>0</v>
      </c>
      <c r="Z140" s="4" t="s">
        <v>423</v>
      </c>
      <c r="AA140" s="4" t="s">
        <v>424</v>
      </c>
    </row>
    <row r="141" ht="30" customHeight="1" spans="1:27" x14ac:dyDescent="0.25">
      <c r="A141" s="4" t="s">
        <v>146</v>
      </c>
      <c r="B141" s="4" t="s">
        <v>87</v>
      </c>
      <c r="C141" s="4">
        <v>5000</v>
      </c>
      <c r="D141" s="4" t="s">
        <v>79</v>
      </c>
      <c r="E141" s="4">
        <v>11</v>
      </c>
      <c r="F141" s="4">
        <v>312</v>
      </c>
      <c r="G141" s="4">
        <v>18060</v>
      </c>
      <c r="H141" s="4">
        <v>9026</v>
      </c>
      <c r="I141" s="4">
        <v>17043</v>
      </c>
      <c r="J141" s="5">
        <v>0</v>
      </c>
      <c r="K141" s="6">
        <v>501.8572005</v>
      </c>
      <c r="L141" s="6">
        <v>502.7344984</v>
      </c>
      <c r="M141" s="6">
        <v>503.72254494</v>
      </c>
      <c r="N141" s="6">
        <v>5483.06465</v>
      </c>
      <c r="O141" s="6">
        <v>5484.0032368</v>
      </c>
      <c r="P141" s="6">
        <v>5485.30635432</v>
      </c>
      <c r="Q141" s="6">
        <v>20</v>
      </c>
      <c r="R141" s="6">
        <v>21</v>
      </c>
      <c r="S141" s="6">
        <v>21</v>
      </c>
      <c r="T141" s="6">
        <v>501.957355270211</v>
      </c>
      <c r="U141" s="6">
        <v>5483.1930194255765</v>
      </c>
      <c r="V141" s="6">
        <v>5488.504647484767</v>
      </c>
      <c r="W141" s="4">
        <v>0</v>
      </c>
      <c r="X141" s="4">
        <v>0</v>
      </c>
      <c r="Y141" s="4">
        <v>0</v>
      </c>
      <c r="Z141" s="4" t="s">
        <v>425</v>
      </c>
      <c r="AA141" s="4" t="s">
        <v>426</v>
      </c>
    </row>
    <row r="142" ht="30" customHeight="1" spans="1:27" x14ac:dyDescent="0.25">
      <c r="A142" s="4" t="s">
        <v>146</v>
      </c>
      <c r="B142" s="4" t="s">
        <v>87</v>
      </c>
      <c r="C142" s="4">
        <v>5000</v>
      </c>
      <c r="D142" s="4" t="s">
        <v>79</v>
      </c>
      <c r="E142" s="4">
        <v>12</v>
      </c>
      <c r="F142" s="4">
        <v>312</v>
      </c>
      <c r="G142" s="4">
        <v>18060</v>
      </c>
      <c r="H142" s="4">
        <v>9005</v>
      </c>
      <c r="I142" s="4">
        <v>17043</v>
      </c>
      <c r="J142" s="5">
        <v>0</v>
      </c>
      <c r="K142" s="6">
        <v>501.85528750000003</v>
      </c>
      <c r="L142" s="6">
        <v>502.7205766</v>
      </c>
      <c r="M142" s="6">
        <v>503.71868423999996</v>
      </c>
      <c r="N142" s="6">
        <v>5483.051015999999</v>
      </c>
      <c r="O142" s="6">
        <v>5483.9895675</v>
      </c>
      <c r="P142" s="6">
        <v>5485.29584606</v>
      </c>
      <c r="Q142" s="6">
        <v>20</v>
      </c>
      <c r="R142" s="6">
        <v>21</v>
      </c>
      <c r="S142" s="6">
        <v>21</v>
      </c>
      <c r="T142" s="6">
        <v>501.9488979556527</v>
      </c>
      <c r="U142" s="6">
        <v>5483.17100401049</v>
      </c>
      <c r="V142" s="6">
        <v>5488.461426106499</v>
      </c>
      <c r="W142" s="4">
        <v>0</v>
      </c>
      <c r="X142" s="4">
        <v>0</v>
      </c>
      <c r="Y142" s="4">
        <v>0</v>
      </c>
      <c r="Z142" s="4" t="s">
        <v>427</v>
      </c>
      <c r="AA142" s="4" t="s">
        <v>428</v>
      </c>
    </row>
    <row r="143" ht="30" customHeight="1" spans="1:27" x14ac:dyDescent="0.25">
      <c r="A143" s="4" t="s">
        <v>146</v>
      </c>
      <c r="B143" s="4" t="s">
        <v>87</v>
      </c>
      <c r="C143" s="4">
        <v>5000</v>
      </c>
      <c r="D143" s="4" t="s">
        <v>79</v>
      </c>
      <c r="E143" s="4">
        <v>13</v>
      </c>
      <c r="F143" s="4">
        <v>312</v>
      </c>
      <c r="G143" s="4">
        <v>18058</v>
      </c>
      <c r="H143" s="4">
        <v>9110</v>
      </c>
      <c r="I143" s="4">
        <v>17041</v>
      </c>
      <c r="J143" s="5">
        <v>0</v>
      </c>
      <c r="K143" s="6">
        <v>501.85514</v>
      </c>
      <c r="L143" s="6">
        <v>502.7280237</v>
      </c>
      <c r="M143" s="6">
        <v>503.67697916000003</v>
      </c>
      <c r="N143" s="6">
        <v>5483.069807</v>
      </c>
      <c r="O143" s="6">
        <v>5483.9959923</v>
      </c>
      <c r="P143" s="6">
        <v>5485.29781992</v>
      </c>
      <c r="Q143" s="6">
        <v>20</v>
      </c>
      <c r="R143" s="6">
        <v>21</v>
      </c>
      <c r="S143" s="6">
        <v>21</v>
      </c>
      <c r="T143" s="6">
        <v>501.93746591211453</v>
      </c>
      <c r="U143" s="6">
        <v>5483.176634788012</v>
      </c>
      <c r="V143" s="6">
        <v>5488.545000919447</v>
      </c>
      <c r="W143" s="4">
        <v>0</v>
      </c>
      <c r="X143" s="4">
        <v>0</v>
      </c>
      <c r="Y143" s="4">
        <v>0</v>
      </c>
      <c r="Z143" s="4" t="s">
        <v>429</v>
      </c>
      <c r="AA143" s="4" t="s">
        <v>430</v>
      </c>
    </row>
    <row r="144" ht="30" customHeight="1" spans="1:27" x14ac:dyDescent="0.25">
      <c r="A144" s="4" t="s">
        <v>146</v>
      </c>
      <c r="B144" s="4" t="s">
        <v>87</v>
      </c>
      <c r="C144" s="4">
        <v>5000</v>
      </c>
      <c r="D144" s="4" t="s">
        <v>79</v>
      </c>
      <c r="E144" s="4">
        <v>14</v>
      </c>
      <c r="F144" s="4">
        <v>312</v>
      </c>
      <c r="G144" s="4">
        <v>18057</v>
      </c>
      <c r="H144" s="4">
        <v>9176</v>
      </c>
      <c r="I144" s="4">
        <v>17040</v>
      </c>
      <c r="J144" s="5">
        <v>0</v>
      </c>
      <c r="K144" s="6">
        <v>501.867056</v>
      </c>
      <c r="L144" s="6">
        <v>502.7417438</v>
      </c>
      <c r="M144" s="6">
        <v>503.73655207999997</v>
      </c>
      <c r="N144" s="6">
        <v>5483.082395</v>
      </c>
      <c r="O144" s="6">
        <v>5484.0263674</v>
      </c>
      <c r="P144" s="6">
        <v>5485.2674669200005</v>
      </c>
      <c r="Q144" s="6">
        <v>20</v>
      </c>
      <c r="R144" s="6">
        <v>21</v>
      </c>
      <c r="S144" s="6">
        <v>21</v>
      </c>
      <c r="T144" s="6">
        <v>501.97359714182767</v>
      </c>
      <c r="U144" s="6">
        <v>5483.214554345753</v>
      </c>
      <c r="V144" s="6">
        <v>5488.625586370935</v>
      </c>
      <c r="W144" s="4">
        <v>0</v>
      </c>
      <c r="X144" s="4">
        <v>0</v>
      </c>
      <c r="Y144" s="4">
        <v>0</v>
      </c>
      <c r="Z144" s="4" t="s">
        <v>431</v>
      </c>
      <c r="AA144" s="4" t="s">
        <v>432</v>
      </c>
    </row>
    <row r="145" ht="30" customHeight="1" spans="1:27" x14ac:dyDescent="0.25">
      <c r="A145" s="4" t="s">
        <v>146</v>
      </c>
      <c r="B145" s="4" t="s">
        <v>87</v>
      </c>
      <c r="C145" s="4">
        <v>5000</v>
      </c>
      <c r="D145" s="4" t="s">
        <v>79</v>
      </c>
      <c r="E145" s="4">
        <v>15</v>
      </c>
      <c r="F145" s="4">
        <v>312</v>
      </c>
      <c r="G145" s="4">
        <v>18059</v>
      </c>
      <c r="H145" s="4">
        <v>9083</v>
      </c>
      <c r="I145" s="4">
        <v>17042</v>
      </c>
      <c r="J145" s="5">
        <v>0</v>
      </c>
      <c r="K145" s="6">
        <v>501.862317</v>
      </c>
      <c r="L145" s="6">
        <v>502.740843</v>
      </c>
      <c r="M145" s="6">
        <v>503.68035764</v>
      </c>
      <c r="N145" s="6">
        <v>5483.063399</v>
      </c>
      <c r="O145" s="6">
        <v>5484.0008806000005</v>
      </c>
      <c r="P145" s="6">
        <v>5485.22259094</v>
      </c>
      <c r="Q145" s="6">
        <v>20</v>
      </c>
      <c r="R145" s="6">
        <v>21</v>
      </c>
      <c r="S145" s="6">
        <v>21</v>
      </c>
      <c r="T145" s="6">
        <v>501.95413155202425</v>
      </c>
      <c r="U145" s="6">
        <v>5483.180536982049</v>
      </c>
      <c r="V145" s="6">
        <v>5488.530412088498</v>
      </c>
      <c r="W145" s="4">
        <v>0</v>
      </c>
      <c r="X145" s="4">
        <v>0</v>
      </c>
      <c r="Y145" s="4">
        <v>0</v>
      </c>
      <c r="Z145" s="4" t="s">
        <v>433</v>
      </c>
      <c r="AA145" s="4" t="s">
        <v>434</v>
      </c>
    </row>
    <row r="146" ht="30" customHeight="1" spans="1:27" x14ac:dyDescent="0.25">
      <c r="A146" s="4" t="s">
        <v>146</v>
      </c>
      <c r="B146" s="4" t="s">
        <v>87</v>
      </c>
      <c r="C146" s="4">
        <v>10000</v>
      </c>
      <c r="D146" s="4" t="s">
        <v>79</v>
      </c>
      <c r="E146" s="4">
        <v>0</v>
      </c>
      <c r="F146" s="4">
        <v>625</v>
      </c>
      <c r="G146" s="4">
        <v>36167</v>
      </c>
      <c r="H146" s="4">
        <v>18092</v>
      </c>
      <c r="I146" s="4">
        <v>34133</v>
      </c>
      <c r="J146" s="5">
        <v>0</v>
      </c>
      <c r="K146" s="6">
        <v>502.014029</v>
      </c>
      <c r="L146" s="6">
        <v>502.9380378</v>
      </c>
      <c r="M146" s="6">
        <v>505.09240137999996</v>
      </c>
      <c r="N146" s="6">
        <v>5483.282341</v>
      </c>
      <c r="O146" s="6">
        <v>5484.3077472</v>
      </c>
      <c r="P146" s="6">
        <v>5486.5987258000005</v>
      </c>
      <c r="Q146" s="6">
        <v>20</v>
      </c>
      <c r="R146" s="6">
        <v>21</v>
      </c>
      <c r="S146" s="6">
        <v>21</v>
      </c>
      <c r="T146" s="6">
        <v>502.2193210290614</v>
      </c>
      <c r="U146" s="6">
        <v>5483.4977979005635</v>
      </c>
      <c r="V146" s="6">
        <v>5489.268499159419</v>
      </c>
      <c r="W146" s="4">
        <v>0</v>
      </c>
      <c r="X146" s="4">
        <v>0</v>
      </c>
      <c r="Y146" s="4">
        <v>0</v>
      </c>
      <c r="Z146" s="4" t="s">
        <v>435</v>
      </c>
      <c r="AA146" s="4" t="s">
        <v>436</v>
      </c>
    </row>
    <row r="147" ht="30" customHeight="1" spans="1:27" x14ac:dyDescent="0.25">
      <c r="A147" s="4" t="s">
        <v>146</v>
      </c>
      <c r="B147" s="4" t="s">
        <v>87</v>
      </c>
      <c r="C147" s="4">
        <v>10000</v>
      </c>
      <c r="D147" s="4" t="s">
        <v>79</v>
      </c>
      <c r="E147" s="4">
        <v>1</v>
      </c>
      <c r="F147" s="4">
        <v>625</v>
      </c>
      <c r="G147" s="4">
        <v>36172</v>
      </c>
      <c r="H147" s="4">
        <v>18121</v>
      </c>
      <c r="I147" s="4">
        <v>34138</v>
      </c>
      <c r="J147" s="5">
        <v>0</v>
      </c>
      <c r="K147" s="6">
        <v>502.0130555</v>
      </c>
      <c r="L147" s="6">
        <v>502.9445038</v>
      </c>
      <c r="M147" s="6">
        <v>505.22829330999997</v>
      </c>
      <c r="N147" s="6">
        <v>5483.290038499999</v>
      </c>
      <c r="O147" s="6">
        <v>5484.331503</v>
      </c>
      <c r="P147" s="6">
        <v>5486.7313220900005</v>
      </c>
      <c r="Q147" s="6">
        <v>20</v>
      </c>
      <c r="R147" s="6">
        <v>21</v>
      </c>
      <c r="S147" s="6">
        <v>21</v>
      </c>
      <c r="T147" s="6">
        <v>502.20487313565894</v>
      </c>
      <c r="U147" s="6">
        <v>5483.496251341467</v>
      </c>
      <c r="V147" s="6">
        <v>5489.2943777268865</v>
      </c>
      <c r="W147" s="4">
        <v>0</v>
      </c>
      <c r="X147" s="4">
        <v>0</v>
      </c>
      <c r="Y147" s="4">
        <v>0</v>
      </c>
      <c r="Z147" s="4" t="s">
        <v>437</v>
      </c>
      <c r="AA147" s="4" t="s">
        <v>438</v>
      </c>
    </row>
    <row r="148" ht="30" customHeight="1" spans="1:27" x14ac:dyDescent="0.25">
      <c r="A148" s="4" t="s">
        <v>146</v>
      </c>
      <c r="B148" s="4" t="s">
        <v>87</v>
      </c>
      <c r="C148" s="4">
        <v>10000</v>
      </c>
      <c r="D148" s="4" t="s">
        <v>79</v>
      </c>
      <c r="E148" s="4">
        <v>2</v>
      </c>
      <c r="F148" s="4">
        <v>625</v>
      </c>
      <c r="G148" s="4">
        <v>36166</v>
      </c>
      <c r="H148" s="4">
        <v>17966</v>
      </c>
      <c r="I148" s="4">
        <v>34132</v>
      </c>
      <c r="J148" s="5">
        <v>0</v>
      </c>
      <c r="K148" s="6">
        <v>502.03060500000004</v>
      </c>
      <c r="L148" s="6">
        <v>502.96729400000004</v>
      </c>
      <c r="M148" s="6">
        <v>505.21623205</v>
      </c>
      <c r="N148" s="6">
        <v>5483.2987335</v>
      </c>
      <c r="O148" s="6">
        <v>5484.3262605</v>
      </c>
      <c r="P148" s="6">
        <v>5486.7381674</v>
      </c>
      <c r="Q148" s="6">
        <v>20</v>
      </c>
      <c r="R148" s="6">
        <v>21</v>
      </c>
      <c r="S148" s="6">
        <v>21</v>
      </c>
      <c r="T148" s="6">
        <v>502.25389986564863</v>
      </c>
      <c r="U148" s="6">
        <v>5483.5364906001905</v>
      </c>
      <c r="V148" s="6">
        <v>5489.31191700905</v>
      </c>
      <c r="W148" s="4">
        <v>0</v>
      </c>
      <c r="X148" s="4">
        <v>0</v>
      </c>
      <c r="Y148" s="4">
        <v>0</v>
      </c>
      <c r="Z148" s="4" t="s">
        <v>439</v>
      </c>
      <c r="AA148" s="4" t="s">
        <v>440</v>
      </c>
    </row>
    <row r="149" ht="30" customHeight="1" spans="1:27" x14ac:dyDescent="0.25">
      <c r="A149" s="4" t="s">
        <v>146</v>
      </c>
      <c r="B149" s="4" t="s">
        <v>87</v>
      </c>
      <c r="C149" s="4">
        <v>10000</v>
      </c>
      <c r="D149" s="4" t="s">
        <v>79</v>
      </c>
      <c r="E149" s="4">
        <v>3</v>
      </c>
      <c r="F149" s="4">
        <v>625</v>
      </c>
      <c r="G149" s="4">
        <v>36171</v>
      </c>
      <c r="H149" s="4">
        <v>18064</v>
      </c>
      <c r="I149" s="4">
        <v>34136</v>
      </c>
      <c r="J149" s="5">
        <v>0</v>
      </c>
      <c r="K149" s="6">
        <v>502.017697</v>
      </c>
      <c r="L149" s="6">
        <v>502.941084</v>
      </c>
      <c r="M149" s="6">
        <v>505.0347793</v>
      </c>
      <c r="N149" s="6">
        <v>5483.286021</v>
      </c>
      <c r="O149" s="6">
        <v>5484.32024</v>
      </c>
      <c r="P149" s="6">
        <v>5486.7174559</v>
      </c>
      <c r="Q149" s="6">
        <v>20</v>
      </c>
      <c r="R149" s="6">
        <v>21</v>
      </c>
      <c r="S149" s="6">
        <v>21</v>
      </c>
      <c r="T149" s="6">
        <v>502.2532790886913</v>
      </c>
      <c r="U149" s="6">
        <v>5483.541861361921</v>
      </c>
      <c r="V149" s="6">
        <v>5489.306975937004</v>
      </c>
      <c r="W149" s="4">
        <v>0</v>
      </c>
      <c r="X149" s="4">
        <v>0</v>
      </c>
      <c r="Y149" s="4">
        <v>0</v>
      </c>
      <c r="Z149" s="4" t="s">
        <v>441</v>
      </c>
      <c r="AA149" s="4" t="s">
        <v>442</v>
      </c>
    </row>
    <row r="150" ht="30" customHeight="1" spans="1:27" x14ac:dyDescent="0.25">
      <c r="A150" s="4" t="s">
        <v>146</v>
      </c>
      <c r="B150" s="4" t="s">
        <v>87</v>
      </c>
      <c r="C150" s="4">
        <v>10000</v>
      </c>
      <c r="D150" s="4" t="s">
        <v>79</v>
      </c>
      <c r="E150" s="4">
        <v>4</v>
      </c>
      <c r="F150" s="4">
        <v>625</v>
      </c>
      <c r="G150" s="4">
        <v>36171</v>
      </c>
      <c r="H150" s="4">
        <v>18119</v>
      </c>
      <c r="I150" s="4">
        <v>34138</v>
      </c>
      <c r="J150" s="5">
        <v>0</v>
      </c>
      <c r="K150" s="6">
        <v>502.015565</v>
      </c>
      <c r="L150" s="6">
        <v>502.945498</v>
      </c>
      <c r="M150" s="6">
        <v>504.9371802</v>
      </c>
      <c r="N150" s="6">
        <v>5483.278241</v>
      </c>
      <c r="O150" s="6">
        <v>5484.308333</v>
      </c>
      <c r="P150" s="6">
        <v>5486.5212728999995</v>
      </c>
      <c r="Q150" s="6">
        <v>20</v>
      </c>
      <c r="R150" s="6">
        <v>21</v>
      </c>
      <c r="S150" s="6">
        <v>21</v>
      </c>
      <c r="T150" s="6">
        <v>502.1906569377973</v>
      </c>
      <c r="U150" s="6">
        <v>5483.468425443214</v>
      </c>
      <c r="V150" s="6">
        <v>5489.191597037556</v>
      </c>
      <c r="W150" s="4">
        <v>0</v>
      </c>
      <c r="X150" s="4">
        <v>0</v>
      </c>
      <c r="Y150" s="4">
        <v>0</v>
      </c>
      <c r="Z150" s="4" t="s">
        <v>443</v>
      </c>
      <c r="AA150" s="4" t="s">
        <v>444</v>
      </c>
    </row>
    <row r="151" ht="30" customHeight="1" spans="1:27" x14ac:dyDescent="0.25">
      <c r="A151" s="4" t="s">
        <v>146</v>
      </c>
      <c r="B151" s="4" t="s">
        <v>87</v>
      </c>
      <c r="C151" s="4">
        <v>10000</v>
      </c>
      <c r="D151" s="4" t="s">
        <v>79</v>
      </c>
      <c r="E151" s="4">
        <v>5</v>
      </c>
      <c r="F151" s="4">
        <v>625</v>
      </c>
      <c r="G151" s="4">
        <v>36170</v>
      </c>
      <c r="H151" s="4">
        <v>17948</v>
      </c>
      <c r="I151" s="4">
        <v>34137</v>
      </c>
      <c r="J151" s="5">
        <v>0</v>
      </c>
      <c r="K151" s="6">
        <v>502.0359965</v>
      </c>
      <c r="L151" s="6">
        <v>502.9734811</v>
      </c>
      <c r="M151" s="6">
        <v>505.32725609</v>
      </c>
      <c r="N151" s="6">
        <v>5483.3001189999995</v>
      </c>
      <c r="O151" s="6">
        <v>5484.3289054</v>
      </c>
      <c r="P151" s="6">
        <v>5486.51974863</v>
      </c>
      <c r="Q151" s="6">
        <v>20</v>
      </c>
      <c r="R151" s="6">
        <v>21</v>
      </c>
      <c r="S151" s="6">
        <v>21</v>
      </c>
      <c r="T151" s="6">
        <v>502.22412132648446</v>
      </c>
      <c r="U151" s="6">
        <v>5483.501468108543</v>
      </c>
      <c r="V151" s="6">
        <v>5489.2586070786565</v>
      </c>
      <c r="W151" s="4">
        <v>0</v>
      </c>
      <c r="X151" s="4">
        <v>0</v>
      </c>
      <c r="Y151" s="4">
        <v>0</v>
      </c>
      <c r="Z151" s="4" t="s">
        <v>445</v>
      </c>
      <c r="AA151" s="4" t="s">
        <v>446</v>
      </c>
    </row>
    <row r="152" ht="30" customHeight="1" spans="1:27" x14ac:dyDescent="0.25">
      <c r="A152" s="4" t="s">
        <v>146</v>
      </c>
      <c r="B152" s="4" t="s">
        <v>87</v>
      </c>
      <c r="C152" s="4">
        <v>10000</v>
      </c>
      <c r="D152" s="4" t="s">
        <v>79</v>
      </c>
      <c r="E152" s="4">
        <v>6</v>
      </c>
      <c r="F152" s="4">
        <v>625</v>
      </c>
      <c r="G152" s="4">
        <v>36168</v>
      </c>
      <c r="H152" s="4">
        <v>18224</v>
      </c>
      <c r="I152" s="4">
        <v>34134</v>
      </c>
      <c r="J152" s="5">
        <v>0</v>
      </c>
      <c r="K152" s="6">
        <v>502.03609800000004</v>
      </c>
      <c r="L152" s="6">
        <v>502.9752507</v>
      </c>
      <c r="M152" s="6">
        <v>505.57949631</v>
      </c>
      <c r="N152" s="6">
        <v>5483.2944985</v>
      </c>
      <c r="O152" s="6">
        <v>5484.3405007</v>
      </c>
      <c r="P152" s="6">
        <v>5486.92522306</v>
      </c>
      <c r="Q152" s="6">
        <v>20</v>
      </c>
      <c r="R152" s="6">
        <v>21</v>
      </c>
      <c r="S152" s="6">
        <v>21</v>
      </c>
      <c r="T152" s="6">
        <v>502.28459083593475</v>
      </c>
      <c r="U152" s="6">
        <v>5483.55768652097</v>
      </c>
      <c r="V152" s="6">
        <v>5489.349414542071</v>
      </c>
      <c r="W152" s="4">
        <v>0</v>
      </c>
      <c r="X152" s="4">
        <v>0</v>
      </c>
      <c r="Y152" s="4">
        <v>0</v>
      </c>
      <c r="Z152" s="4" t="s">
        <v>447</v>
      </c>
      <c r="AA152" s="4" t="s">
        <v>448</v>
      </c>
    </row>
    <row r="153" ht="30" customHeight="1" spans="1:27" x14ac:dyDescent="0.25">
      <c r="A153" s="4" t="s">
        <v>146</v>
      </c>
      <c r="B153" s="4" t="s">
        <v>87</v>
      </c>
      <c r="C153" s="4">
        <v>10000</v>
      </c>
      <c r="D153" s="4" t="s">
        <v>79</v>
      </c>
      <c r="E153" s="4">
        <v>7</v>
      </c>
      <c r="F153" s="4">
        <v>625</v>
      </c>
      <c r="G153" s="4">
        <v>36174</v>
      </c>
      <c r="H153" s="4">
        <v>18263</v>
      </c>
      <c r="I153" s="4">
        <v>34138</v>
      </c>
      <c r="J153" s="5">
        <v>0</v>
      </c>
      <c r="K153" s="6">
        <v>502.027381</v>
      </c>
      <c r="L153" s="6">
        <v>502.9466201</v>
      </c>
      <c r="M153" s="6">
        <v>505.2740238</v>
      </c>
      <c r="N153" s="6">
        <v>5483.291639</v>
      </c>
      <c r="O153" s="6">
        <v>5484.3158736</v>
      </c>
      <c r="P153" s="6">
        <v>5486.69827332</v>
      </c>
      <c r="Q153" s="6">
        <v>20</v>
      </c>
      <c r="R153" s="6">
        <v>21</v>
      </c>
      <c r="S153" s="6">
        <v>21</v>
      </c>
      <c r="T153" s="6">
        <v>502.21611282868326</v>
      </c>
      <c r="U153" s="6">
        <v>5483.499875079086</v>
      </c>
      <c r="V153" s="6">
        <v>5489.334241626316</v>
      </c>
      <c r="W153" s="4">
        <v>0</v>
      </c>
      <c r="X153" s="4">
        <v>0</v>
      </c>
      <c r="Y153" s="4">
        <v>0</v>
      </c>
      <c r="Z153" s="4" t="s">
        <v>449</v>
      </c>
      <c r="AA153" s="4" t="s">
        <v>450</v>
      </c>
    </row>
    <row r="154" ht="30" customHeight="1" spans="1:27" x14ac:dyDescent="0.25">
      <c r="A154" s="4" t="s">
        <v>146</v>
      </c>
      <c r="B154" s="4" t="s">
        <v>87</v>
      </c>
      <c r="C154" s="4">
        <v>10000</v>
      </c>
      <c r="D154" s="4" t="s">
        <v>79</v>
      </c>
      <c r="E154" s="4">
        <v>8</v>
      </c>
      <c r="F154" s="4">
        <v>625</v>
      </c>
      <c r="G154" s="4">
        <v>36171</v>
      </c>
      <c r="H154" s="4">
        <v>18108</v>
      </c>
      <c r="I154" s="4">
        <v>34139</v>
      </c>
      <c r="J154" s="5">
        <v>0</v>
      </c>
      <c r="K154" s="6">
        <v>502.037283</v>
      </c>
      <c r="L154" s="6">
        <v>502.96099</v>
      </c>
      <c r="M154" s="6">
        <v>505.6689775</v>
      </c>
      <c r="N154" s="6">
        <v>5483.311867</v>
      </c>
      <c r="O154" s="6">
        <v>5484.353629</v>
      </c>
      <c r="P154" s="6">
        <v>5487.4191369</v>
      </c>
      <c r="Q154" s="6">
        <v>20</v>
      </c>
      <c r="R154" s="6">
        <v>21</v>
      </c>
      <c r="S154" s="6">
        <v>21</v>
      </c>
      <c r="T154" s="6">
        <v>502.25251437873055</v>
      </c>
      <c r="U154" s="6">
        <v>5483.546150955971</v>
      </c>
      <c r="V154" s="6">
        <v>5489.401152879486</v>
      </c>
      <c r="W154" s="4">
        <v>0</v>
      </c>
      <c r="X154" s="4">
        <v>0</v>
      </c>
      <c r="Y154" s="4">
        <v>0</v>
      </c>
      <c r="Z154" s="4" t="s">
        <v>451</v>
      </c>
      <c r="AA154" s="4" t="s">
        <v>452</v>
      </c>
    </row>
    <row r="155" ht="30" customHeight="1" spans="1:27" x14ac:dyDescent="0.25">
      <c r="A155" s="4" t="s">
        <v>146</v>
      </c>
      <c r="B155" s="4" t="s">
        <v>87</v>
      </c>
      <c r="C155" s="4">
        <v>10000</v>
      </c>
      <c r="D155" s="4" t="s">
        <v>79</v>
      </c>
      <c r="E155" s="4">
        <v>9</v>
      </c>
      <c r="F155" s="4">
        <v>625</v>
      </c>
      <c r="G155" s="4">
        <v>36172</v>
      </c>
      <c r="H155" s="4">
        <v>18083</v>
      </c>
      <c r="I155" s="4">
        <v>34139</v>
      </c>
      <c r="J155" s="5">
        <v>0</v>
      </c>
      <c r="K155" s="6">
        <v>502.031798</v>
      </c>
      <c r="L155" s="6">
        <v>502.9773778</v>
      </c>
      <c r="M155" s="6">
        <v>505.40445433</v>
      </c>
      <c r="N155" s="6">
        <v>5483.309762</v>
      </c>
      <c r="O155" s="6">
        <v>5484.3439781</v>
      </c>
      <c r="P155" s="6">
        <v>5486.80266754</v>
      </c>
      <c r="Q155" s="6">
        <v>20</v>
      </c>
      <c r="R155" s="6">
        <v>21</v>
      </c>
      <c r="S155" s="6">
        <v>21</v>
      </c>
      <c r="T155" s="6">
        <v>502.2083340148728</v>
      </c>
      <c r="U155" s="6">
        <v>5483.497868999782</v>
      </c>
      <c r="V155" s="6">
        <v>5489.282472368391</v>
      </c>
      <c r="W155" s="4">
        <v>0</v>
      </c>
      <c r="X155" s="4">
        <v>0</v>
      </c>
      <c r="Y155" s="4">
        <v>0</v>
      </c>
      <c r="Z155" s="4" t="s">
        <v>453</v>
      </c>
      <c r="AA155" s="4" t="s">
        <v>454</v>
      </c>
    </row>
    <row r="156" ht="30" customHeight="1" spans="1:27" x14ac:dyDescent="0.25">
      <c r="A156" s="4" t="s">
        <v>146</v>
      </c>
      <c r="B156" s="4" t="s">
        <v>87</v>
      </c>
      <c r="C156" s="4">
        <v>10000</v>
      </c>
      <c r="D156" s="4" t="s">
        <v>79</v>
      </c>
      <c r="E156" s="4">
        <v>10</v>
      </c>
      <c r="F156" s="4">
        <v>625</v>
      </c>
      <c r="G156" s="4">
        <v>36167</v>
      </c>
      <c r="H156" s="4">
        <v>18136</v>
      </c>
      <c r="I156" s="4">
        <v>34133</v>
      </c>
      <c r="J156" s="5">
        <v>0</v>
      </c>
      <c r="K156" s="6">
        <v>502.033707</v>
      </c>
      <c r="L156" s="6">
        <v>502.9693136</v>
      </c>
      <c r="M156" s="6">
        <v>505.14840627999996</v>
      </c>
      <c r="N156" s="6">
        <v>5483.3052</v>
      </c>
      <c r="O156" s="6">
        <v>5484.3513047999995</v>
      </c>
      <c r="P156" s="6">
        <v>5486.89593438</v>
      </c>
      <c r="Q156" s="6">
        <v>20</v>
      </c>
      <c r="R156" s="6">
        <v>21</v>
      </c>
      <c r="S156" s="6">
        <v>21</v>
      </c>
      <c r="T156" s="6">
        <v>502.22806691680154</v>
      </c>
      <c r="U156" s="6">
        <v>5483.52387210931</v>
      </c>
      <c r="V156" s="6">
        <v>5489.347653029041</v>
      </c>
      <c r="W156" s="4">
        <v>0</v>
      </c>
      <c r="X156" s="4">
        <v>0</v>
      </c>
      <c r="Y156" s="4">
        <v>0</v>
      </c>
      <c r="Z156" s="4" t="s">
        <v>455</v>
      </c>
      <c r="AA156" s="4" t="s">
        <v>456</v>
      </c>
    </row>
    <row r="157" ht="30" customHeight="1" spans="1:27" x14ac:dyDescent="0.25">
      <c r="A157" s="4" t="s">
        <v>146</v>
      </c>
      <c r="B157" s="4" t="s">
        <v>87</v>
      </c>
      <c r="C157" s="4">
        <v>10000</v>
      </c>
      <c r="D157" s="4" t="s">
        <v>79</v>
      </c>
      <c r="E157" s="4">
        <v>11</v>
      </c>
      <c r="F157" s="4">
        <v>625</v>
      </c>
      <c r="G157" s="4">
        <v>36172</v>
      </c>
      <c r="H157" s="4">
        <v>18048</v>
      </c>
      <c r="I157" s="4">
        <v>34139</v>
      </c>
      <c r="J157" s="5">
        <v>0</v>
      </c>
      <c r="K157" s="6">
        <v>502.040447</v>
      </c>
      <c r="L157" s="6">
        <v>502.9643208</v>
      </c>
      <c r="M157" s="6">
        <v>505.16852413000004</v>
      </c>
      <c r="N157" s="6">
        <v>5483.307171500001</v>
      </c>
      <c r="O157" s="6">
        <v>5484.342001</v>
      </c>
      <c r="P157" s="6">
        <v>5486.84134191</v>
      </c>
      <c r="Q157" s="6">
        <v>20</v>
      </c>
      <c r="R157" s="6">
        <v>21</v>
      </c>
      <c r="S157" s="6">
        <v>21</v>
      </c>
      <c r="T157" s="6">
        <v>502.24018909653773</v>
      </c>
      <c r="U157" s="6">
        <v>5483.531502862271</v>
      </c>
      <c r="V157" s="6">
        <v>5489.292156149671</v>
      </c>
      <c r="W157" s="4">
        <v>0</v>
      </c>
      <c r="X157" s="4">
        <v>0</v>
      </c>
      <c r="Y157" s="4">
        <v>0</v>
      </c>
      <c r="Z157" s="4" t="s">
        <v>457</v>
      </c>
      <c r="AA157" s="4" t="s">
        <v>458</v>
      </c>
    </row>
    <row r="158" ht="30" customHeight="1" spans="1:27" x14ac:dyDescent="0.25">
      <c r="A158" s="4" t="s">
        <v>146</v>
      </c>
      <c r="B158" s="4" t="s">
        <v>87</v>
      </c>
      <c r="C158" s="4">
        <v>10000</v>
      </c>
      <c r="D158" s="4" t="s">
        <v>79</v>
      </c>
      <c r="E158" s="4">
        <v>12</v>
      </c>
      <c r="F158" s="4">
        <v>625</v>
      </c>
      <c r="G158" s="4">
        <v>36172</v>
      </c>
      <c r="H158" s="4">
        <v>18227</v>
      </c>
      <c r="I158" s="4">
        <v>34137</v>
      </c>
      <c r="J158" s="5">
        <v>0</v>
      </c>
      <c r="K158" s="6">
        <v>502.0275375</v>
      </c>
      <c r="L158" s="6">
        <v>502.9554003</v>
      </c>
      <c r="M158" s="6">
        <v>505.40633068</v>
      </c>
      <c r="N158" s="6">
        <v>5483.2986635</v>
      </c>
      <c r="O158" s="6">
        <v>5484.3472607</v>
      </c>
      <c r="P158" s="6">
        <v>5487.4037091400005</v>
      </c>
      <c r="Q158" s="6">
        <v>20</v>
      </c>
      <c r="R158" s="6">
        <v>21</v>
      </c>
      <c r="S158" s="6">
        <v>21</v>
      </c>
      <c r="T158" s="6">
        <v>502.2636957940104</v>
      </c>
      <c r="U158" s="6">
        <v>5483.570067006682</v>
      </c>
      <c r="V158" s="6">
        <v>5489.413648511526</v>
      </c>
      <c r="W158" s="4">
        <v>0</v>
      </c>
      <c r="X158" s="4">
        <v>0</v>
      </c>
      <c r="Y158" s="4">
        <v>0</v>
      </c>
      <c r="Z158" s="4" t="s">
        <v>459</v>
      </c>
      <c r="AA158" s="4" t="s">
        <v>460</v>
      </c>
    </row>
    <row r="159" ht="30" customHeight="1" spans="1:27" x14ac:dyDescent="0.25">
      <c r="A159" s="4" t="s">
        <v>146</v>
      </c>
      <c r="B159" s="4" t="s">
        <v>87</v>
      </c>
      <c r="C159" s="4">
        <v>10000</v>
      </c>
      <c r="D159" s="4" t="s">
        <v>79</v>
      </c>
      <c r="E159" s="4">
        <v>13</v>
      </c>
      <c r="F159" s="4">
        <v>625</v>
      </c>
      <c r="G159" s="4">
        <v>36169</v>
      </c>
      <c r="H159" s="4">
        <v>18155</v>
      </c>
      <c r="I159" s="4">
        <v>34134</v>
      </c>
      <c r="J159" s="5">
        <v>0</v>
      </c>
      <c r="K159" s="6">
        <v>502.020145</v>
      </c>
      <c r="L159" s="6">
        <v>502.9411582</v>
      </c>
      <c r="M159" s="6">
        <v>505.03753572</v>
      </c>
      <c r="N159" s="6">
        <v>5483.286993</v>
      </c>
      <c r="O159" s="6">
        <v>5484.3205756</v>
      </c>
      <c r="P159" s="6">
        <v>5486.92633448</v>
      </c>
      <c r="Q159" s="6">
        <v>20</v>
      </c>
      <c r="R159" s="6">
        <v>21</v>
      </c>
      <c r="S159" s="6">
        <v>21</v>
      </c>
      <c r="T159" s="6">
        <v>502.21289436273696</v>
      </c>
      <c r="U159" s="6">
        <v>5483.515526088647</v>
      </c>
      <c r="V159" s="6">
        <v>5489.289895990276</v>
      </c>
      <c r="W159" s="4">
        <v>0</v>
      </c>
      <c r="X159" s="4">
        <v>0</v>
      </c>
      <c r="Y159" s="4">
        <v>0</v>
      </c>
      <c r="Z159" s="4" t="s">
        <v>461</v>
      </c>
      <c r="AA159" s="4" t="s">
        <v>462</v>
      </c>
    </row>
    <row r="160" ht="30" customHeight="1" spans="1:27" x14ac:dyDescent="0.25">
      <c r="A160" s="4" t="s">
        <v>146</v>
      </c>
      <c r="B160" s="4" t="s">
        <v>87</v>
      </c>
      <c r="C160" s="4">
        <v>10000</v>
      </c>
      <c r="D160" s="4" t="s">
        <v>79</v>
      </c>
      <c r="E160" s="4">
        <v>14</v>
      </c>
      <c r="F160" s="4">
        <v>625</v>
      </c>
      <c r="G160" s="4">
        <v>36174</v>
      </c>
      <c r="H160" s="4">
        <v>18119</v>
      </c>
      <c r="I160" s="4">
        <v>34139</v>
      </c>
      <c r="J160" s="5">
        <v>0</v>
      </c>
      <c r="K160" s="6">
        <v>502.0146565</v>
      </c>
      <c r="L160" s="6">
        <v>502.9179833</v>
      </c>
      <c r="M160" s="6">
        <v>504.80493752999996</v>
      </c>
      <c r="N160" s="6">
        <v>5483.271586000001</v>
      </c>
      <c r="O160" s="6">
        <v>5484.2961238</v>
      </c>
      <c r="P160" s="6">
        <v>5486.76286517</v>
      </c>
      <c r="Q160" s="6">
        <v>20</v>
      </c>
      <c r="R160" s="6">
        <v>21</v>
      </c>
      <c r="S160" s="6">
        <v>21</v>
      </c>
      <c r="T160" s="6">
        <v>502.2125476119045</v>
      </c>
      <c r="U160" s="6">
        <v>5483.507314150409</v>
      </c>
      <c r="V160" s="6">
        <v>5489.21671102567</v>
      </c>
      <c r="W160" s="4">
        <v>0</v>
      </c>
      <c r="X160" s="4">
        <v>0</v>
      </c>
      <c r="Y160" s="4">
        <v>0</v>
      </c>
      <c r="Z160" s="4" t="s">
        <v>463</v>
      </c>
      <c r="AA160" s="4" t="s">
        <v>464</v>
      </c>
    </row>
    <row r="161" ht="30" customHeight="1" spans="1:27" x14ac:dyDescent="0.25">
      <c r="A161" s="4" t="s">
        <v>146</v>
      </c>
      <c r="B161" s="4" t="s">
        <v>87</v>
      </c>
      <c r="C161" s="4">
        <v>10000</v>
      </c>
      <c r="D161" s="4" t="s">
        <v>79</v>
      </c>
      <c r="E161" s="4">
        <v>15</v>
      </c>
      <c r="F161" s="4">
        <v>625</v>
      </c>
      <c r="G161" s="4">
        <v>36170</v>
      </c>
      <c r="H161" s="4">
        <v>18035</v>
      </c>
      <c r="I161" s="4">
        <v>34135</v>
      </c>
      <c r="J161" s="5">
        <v>0</v>
      </c>
      <c r="K161" s="6">
        <v>502.010527</v>
      </c>
      <c r="L161" s="6">
        <v>502.94624600000003</v>
      </c>
      <c r="M161" s="6">
        <v>505.10732003</v>
      </c>
      <c r="N161" s="6">
        <v>5483.2786235</v>
      </c>
      <c r="O161" s="6">
        <v>5484.3169238</v>
      </c>
      <c r="P161" s="6">
        <v>5486.89602665</v>
      </c>
      <c r="Q161" s="6">
        <v>20</v>
      </c>
      <c r="R161" s="6">
        <v>21</v>
      </c>
      <c r="S161" s="6">
        <v>21</v>
      </c>
      <c r="T161" s="6">
        <v>502.214454292258</v>
      </c>
      <c r="U161" s="6">
        <v>5483.514634352389</v>
      </c>
      <c r="V161" s="6">
        <v>5489.260183343022</v>
      </c>
      <c r="W161" s="4">
        <v>0</v>
      </c>
      <c r="X161" s="4">
        <v>0</v>
      </c>
      <c r="Y161" s="4">
        <v>0</v>
      </c>
      <c r="Z161" s="4" t="s">
        <v>465</v>
      </c>
      <c r="AA161" s="4" t="s">
        <v>466</v>
      </c>
    </row>
    <row r="162" ht="30" customHeight="1" spans="1:27" x14ac:dyDescent="0.25">
      <c r="A162" s="4" t="s">
        <v>146</v>
      </c>
      <c r="B162" s="4" t="s">
        <v>87</v>
      </c>
      <c r="C162" s="4">
        <v>15000</v>
      </c>
      <c r="D162" s="4" t="s">
        <v>79</v>
      </c>
      <c r="E162" s="4">
        <v>0</v>
      </c>
      <c r="F162" s="4">
        <v>938</v>
      </c>
      <c r="G162" s="4">
        <v>54290</v>
      </c>
      <c r="H162" s="4">
        <v>27091</v>
      </c>
      <c r="I162" s="4">
        <v>51240</v>
      </c>
      <c r="J162" s="5">
        <v>0</v>
      </c>
      <c r="K162" s="6">
        <v>502.10008849999997</v>
      </c>
      <c r="L162" s="6">
        <v>503.3080163</v>
      </c>
      <c r="M162" s="6">
        <v>511.41338595</v>
      </c>
      <c r="N162" s="6">
        <v>5483.4090435</v>
      </c>
      <c r="O162" s="6">
        <v>5484.8043566999995</v>
      </c>
      <c r="P162" s="6">
        <v>5492.20752062</v>
      </c>
      <c r="Q162" s="6">
        <v>20</v>
      </c>
      <c r="R162" s="6">
        <v>21</v>
      </c>
      <c r="S162" s="6">
        <v>21</v>
      </c>
      <c r="T162" s="6">
        <v>502.56291615041124</v>
      </c>
      <c r="U162" s="6">
        <v>5483.883009382926</v>
      </c>
      <c r="V162" s="6">
        <v>5489.293671664153</v>
      </c>
      <c r="W162" s="4">
        <v>0</v>
      </c>
      <c r="X162" s="4">
        <v>0</v>
      </c>
      <c r="Y162" s="4">
        <v>0</v>
      </c>
      <c r="Z162" s="4" t="s">
        <v>467</v>
      </c>
      <c r="AA162" s="4" t="s">
        <v>468</v>
      </c>
    </row>
    <row r="163" ht="30" customHeight="1" spans="1:27" x14ac:dyDescent="0.25">
      <c r="A163" s="4" t="s">
        <v>146</v>
      </c>
      <c r="B163" s="4" t="s">
        <v>87</v>
      </c>
      <c r="C163" s="4">
        <v>15000</v>
      </c>
      <c r="D163" s="4" t="s">
        <v>79</v>
      </c>
      <c r="E163" s="4">
        <v>1</v>
      </c>
      <c r="F163" s="4">
        <v>938</v>
      </c>
      <c r="G163" s="4">
        <v>54283</v>
      </c>
      <c r="H163" s="4">
        <v>27284</v>
      </c>
      <c r="I163" s="4">
        <v>51232</v>
      </c>
      <c r="J163" s="5">
        <v>0</v>
      </c>
      <c r="K163" s="6">
        <v>502.088016</v>
      </c>
      <c r="L163" s="6">
        <v>503.2602822</v>
      </c>
      <c r="M163" s="6">
        <v>510.91001228</v>
      </c>
      <c r="N163" s="6">
        <v>5483.414782</v>
      </c>
      <c r="O163" s="6">
        <v>5484.7922296</v>
      </c>
      <c r="P163" s="6">
        <v>5492.39768306</v>
      </c>
      <c r="Q163" s="6">
        <v>20</v>
      </c>
      <c r="R163" s="6">
        <v>21</v>
      </c>
      <c r="S163" s="6">
        <v>21</v>
      </c>
      <c r="T163" s="6">
        <v>502.55434334401383</v>
      </c>
      <c r="U163" s="6">
        <v>5483.90139163479</v>
      </c>
      <c r="V163" s="6">
        <v>5489.575949597297</v>
      </c>
      <c r="W163" s="4">
        <v>0</v>
      </c>
      <c r="X163" s="4">
        <v>0</v>
      </c>
      <c r="Y163" s="4">
        <v>0</v>
      </c>
      <c r="Z163" s="4" t="s">
        <v>469</v>
      </c>
      <c r="AA163" s="4" t="s">
        <v>470</v>
      </c>
    </row>
    <row r="164" ht="30" customHeight="1" spans="1:27" x14ac:dyDescent="0.25">
      <c r="A164" s="4" t="s">
        <v>146</v>
      </c>
      <c r="B164" s="4" t="s">
        <v>87</v>
      </c>
      <c r="C164" s="4">
        <v>15000</v>
      </c>
      <c r="D164" s="4" t="s">
        <v>79</v>
      </c>
      <c r="E164" s="4">
        <v>2</v>
      </c>
      <c r="F164" s="4">
        <v>938</v>
      </c>
      <c r="G164" s="4">
        <v>54285</v>
      </c>
      <c r="H164" s="4">
        <v>27149</v>
      </c>
      <c r="I164" s="4">
        <v>51235</v>
      </c>
      <c r="J164" s="5">
        <v>0</v>
      </c>
      <c r="K164" s="6">
        <v>502.105658</v>
      </c>
      <c r="L164" s="6">
        <v>503.330079</v>
      </c>
      <c r="M164" s="6">
        <v>511.05892652</v>
      </c>
      <c r="N164" s="6">
        <v>5483.419394</v>
      </c>
      <c r="O164" s="6">
        <v>5484.813901</v>
      </c>
      <c r="P164" s="6">
        <v>5492.0478716</v>
      </c>
      <c r="Q164" s="6">
        <v>20</v>
      </c>
      <c r="R164" s="6">
        <v>21</v>
      </c>
      <c r="S164" s="6">
        <v>21</v>
      </c>
      <c r="T164" s="6">
        <v>502.5719542688201</v>
      </c>
      <c r="U164" s="6">
        <v>5483.892392336536</v>
      </c>
      <c r="V164" s="6">
        <v>5489.34001804756</v>
      </c>
      <c r="W164" s="4">
        <v>0</v>
      </c>
      <c r="X164" s="4">
        <v>0</v>
      </c>
      <c r="Y164" s="4">
        <v>0</v>
      </c>
      <c r="Z164" s="4" t="s">
        <v>471</v>
      </c>
      <c r="AA164" s="4" t="s">
        <v>472</v>
      </c>
    </row>
    <row r="165" ht="30" customHeight="1" spans="1:27" x14ac:dyDescent="0.25">
      <c r="A165" s="4" t="s">
        <v>146</v>
      </c>
      <c r="B165" s="4" t="s">
        <v>87</v>
      </c>
      <c r="C165" s="4">
        <v>15000</v>
      </c>
      <c r="D165" s="4" t="s">
        <v>79</v>
      </c>
      <c r="E165" s="4">
        <v>3</v>
      </c>
      <c r="F165" s="4">
        <v>938</v>
      </c>
      <c r="G165" s="4">
        <v>54286</v>
      </c>
      <c r="H165" s="4">
        <v>27390</v>
      </c>
      <c r="I165" s="4">
        <v>51239</v>
      </c>
      <c r="J165" s="5">
        <v>0</v>
      </c>
      <c r="K165" s="6">
        <v>502.08419649999996</v>
      </c>
      <c r="L165" s="6">
        <v>503.2575885</v>
      </c>
      <c r="M165" s="6">
        <v>510.9677811</v>
      </c>
      <c r="N165" s="6">
        <v>5483.411948499999</v>
      </c>
      <c r="O165" s="6">
        <v>5484.7916675</v>
      </c>
      <c r="P165" s="6">
        <v>5491.98919735</v>
      </c>
      <c r="Q165" s="6">
        <v>20</v>
      </c>
      <c r="R165" s="6">
        <v>21</v>
      </c>
      <c r="S165" s="6">
        <v>21</v>
      </c>
      <c r="T165" s="6">
        <v>502.53838717114627</v>
      </c>
      <c r="U165" s="6">
        <v>5483.881240065958</v>
      </c>
      <c r="V165" s="6">
        <v>5489.513488555798</v>
      </c>
      <c r="W165" s="4">
        <v>0</v>
      </c>
      <c r="X165" s="4">
        <v>0</v>
      </c>
      <c r="Y165" s="4">
        <v>0</v>
      </c>
      <c r="Z165" s="4" t="s">
        <v>473</v>
      </c>
      <c r="AA165" s="4" t="s">
        <v>474</v>
      </c>
    </row>
    <row r="166" ht="30" customHeight="1" spans="1:27" x14ac:dyDescent="0.25">
      <c r="A166" s="4" t="s">
        <v>146</v>
      </c>
      <c r="B166" s="4" t="s">
        <v>87</v>
      </c>
      <c r="C166" s="4">
        <v>15000</v>
      </c>
      <c r="D166" s="4" t="s">
        <v>79</v>
      </c>
      <c r="E166" s="4">
        <v>4</v>
      </c>
      <c r="F166" s="4">
        <v>938</v>
      </c>
      <c r="G166" s="4">
        <v>54284</v>
      </c>
      <c r="H166" s="4">
        <v>27063</v>
      </c>
      <c r="I166" s="4">
        <v>51231</v>
      </c>
      <c r="J166" s="5">
        <v>0</v>
      </c>
      <c r="K166" s="6">
        <v>502.088311</v>
      </c>
      <c r="L166" s="6">
        <v>503.2710211</v>
      </c>
      <c r="M166" s="6">
        <v>512.18694407</v>
      </c>
      <c r="N166" s="6">
        <v>5483.410872</v>
      </c>
      <c r="O166" s="6">
        <v>5484.8226752</v>
      </c>
      <c r="P166" s="6">
        <v>5493.25136414</v>
      </c>
      <c r="Q166" s="6">
        <v>20</v>
      </c>
      <c r="R166" s="6">
        <v>21</v>
      </c>
      <c r="S166" s="6">
        <v>21</v>
      </c>
      <c r="T166" s="6">
        <v>502.62311301497476</v>
      </c>
      <c r="U166" s="6">
        <v>5483.940360718013</v>
      </c>
      <c r="V166" s="6">
        <v>5489.544502256219</v>
      </c>
      <c r="W166" s="4">
        <v>0</v>
      </c>
      <c r="X166" s="4">
        <v>0</v>
      </c>
      <c r="Y166" s="4">
        <v>0</v>
      </c>
      <c r="Z166" s="4" t="s">
        <v>475</v>
      </c>
      <c r="AA166" s="4" t="s">
        <v>476</v>
      </c>
    </row>
    <row r="167" ht="30" customHeight="1" spans="1:27" x14ac:dyDescent="0.25">
      <c r="A167" s="4" t="s">
        <v>146</v>
      </c>
      <c r="B167" s="4" t="s">
        <v>87</v>
      </c>
      <c r="C167" s="4">
        <v>15000</v>
      </c>
      <c r="D167" s="4" t="s">
        <v>79</v>
      </c>
      <c r="E167" s="4">
        <v>5</v>
      </c>
      <c r="F167" s="4">
        <v>938</v>
      </c>
      <c r="G167" s="4">
        <v>54285</v>
      </c>
      <c r="H167" s="4">
        <v>27108</v>
      </c>
      <c r="I167" s="4">
        <v>51234</v>
      </c>
      <c r="J167" s="5">
        <v>0</v>
      </c>
      <c r="K167" s="6">
        <v>502.108976</v>
      </c>
      <c r="L167" s="6">
        <v>503.34333</v>
      </c>
      <c r="M167" s="6">
        <v>511.43472383999995</v>
      </c>
      <c r="N167" s="6">
        <v>5483.439235</v>
      </c>
      <c r="O167" s="6">
        <v>5484.9012344</v>
      </c>
      <c r="P167" s="6">
        <v>5493.2133632</v>
      </c>
      <c r="Q167" s="6">
        <v>20</v>
      </c>
      <c r="R167" s="6">
        <v>21</v>
      </c>
      <c r="S167" s="6">
        <v>21</v>
      </c>
      <c r="T167" s="6">
        <v>502.580154634887</v>
      </c>
      <c r="U167" s="6">
        <v>5483.943956299026</v>
      </c>
      <c r="V167" s="6">
        <v>5489.384982836861</v>
      </c>
      <c r="W167" s="4">
        <v>0</v>
      </c>
      <c r="X167" s="4">
        <v>0</v>
      </c>
      <c r="Y167" s="4">
        <v>0</v>
      </c>
      <c r="Z167" s="4" t="s">
        <v>477</v>
      </c>
      <c r="AA167" s="4" t="s">
        <v>478</v>
      </c>
    </row>
    <row r="168" ht="30" customHeight="1" spans="1:27" x14ac:dyDescent="0.25">
      <c r="A168" s="4" t="s">
        <v>146</v>
      </c>
      <c r="B168" s="4" t="s">
        <v>87</v>
      </c>
      <c r="C168" s="4">
        <v>15000</v>
      </c>
      <c r="D168" s="4" t="s">
        <v>79</v>
      </c>
      <c r="E168" s="4">
        <v>6</v>
      </c>
      <c r="F168" s="4">
        <v>938</v>
      </c>
      <c r="G168" s="4">
        <v>54288</v>
      </c>
      <c r="H168" s="4">
        <v>27269</v>
      </c>
      <c r="I168" s="4">
        <v>51237</v>
      </c>
      <c r="J168" s="5">
        <v>0</v>
      </c>
      <c r="K168" s="6">
        <v>502.102446</v>
      </c>
      <c r="L168" s="6">
        <v>503.303135</v>
      </c>
      <c r="M168" s="6">
        <v>510.25593449999997</v>
      </c>
      <c r="N168" s="6">
        <v>5483.4168395</v>
      </c>
      <c r="O168" s="6">
        <v>5484.7932098</v>
      </c>
      <c r="P168" s="6">
        <v>5491.58902425</v>
      </c>
      <c r="Q168" s="6">
        <v>20</v>
      </c>
      <c r="R168" s="6">
        <v>21</v>
      </c>
      <c r="S168" s="6">
        <v>21</v>
      </c>
      <c r="T168" s="6">
        <v>502.52531103080156</v>
      </c>
      <c r="U168" s="6">
        <v>5483.8525105640765</v>
      </c>
      <c r="V168" s="6">
        <v>5489.259685575161</v>
      </c>
      <c r="W168" s="4">
        <v>0</v>
      </c>
      <c r="X168" s="4">
        <v>0</v>
      </c>
      <c r="Y168" s="4">
        <v>0</v>
      </c>
      <c r="Z168" s="4" t="s">
        <v>479</v>
      </c>
      <c r="AA168" s="4" t="s">
        <v>480</v>
      </c>
    </row>
    <row r="169" ht="30" customHeight="1" spans="1:27" x14ac:dyDescent="0.25">
      <c r="A169" s="4" t="s">
        <v>146</v>
      </c>
      <c r="B169" s="4" t="s">
        <v>87</v>
      </c>
      <c r="C169" s="4">
        <v>15000</v>
      </c>
      <c r="D169" s="4" t="s">
        <v>79</v>
      </c>
      <c r="E169" s="4">
        <v>7</v>
      </c>
      <c r="F169" s="4">
        <v>938</v>
      </c>
      <c r="G169" s="4">
        <v>54283</v>
      </c>
      <c r="H169" s="4">
        <v>27235</v>
      </c>
      <c r="I169" s="4">
        <v>51233</v>
      </c>
      <c r="J169" s="5">
        <v>0</v>
      </c>
      <c r="K169" s="6">
        <v>502.083792</v>
      </c>
      <c r="L169" s="6">
        <v>503.253448</v>
      </c>
      <c r="M169" s="6">
        <v>511.2474382</v>
      </c>
      <c r="N169" s="6">
        <v>5483.414331</v>
      </c>
      <c r="O169" s="6">
        <v>5484.7974332</v>
      </c>
      <c r="P169" s="6">
        <v>5492.90982744</v>
      </c>
      <c r="Q169" s="6">
        <v>20</v>
      </c>
      <c r="R169" s="6">
        <v>21</v>
      </c>
      <c r="S169" s="6">
        <v>21</v>
      </c>
      <c r="T169" s="6">
        <v>502.63329156566044</v>
      </c>
      <c r="U169" s="6">
        <v>5483.974888463385</v>
      </c>
      <c r="V169" s="6">
        <v>5489.642777693884</v>
      </c>
      <c r="W169" s="4">
        <v>0</v>
      </c>
      <c r="X169" s="4">
        <v>0</v>
      </c>
      <c r="Y169" s="4">
        <v>0</v>
      </c>
      <c r="Z169" s="4" t="s">
        <v>481</v>
      </c>
      <c r="AA169" s="4" t="s">
        <v>482</v>
      </c>
    </row>
    <row r="170" ht="30" customHeight="1" spans="1:27" x14ac:dyDescent="0.25">
      <c r="A170" s="4" t="s">
        <v>146</v>
      </c>
      <c r="B170" s="4" t="s">
        <v>87</v>
      </c>
      <c r="C170" s="4">
        <v>15000</v>
      </c>
      <c r="D170" s="4" t="s">
        <v>79</v>
      </c>
      <c r="E170" s="4">
        <v>8</v>
      </c>
      <c r="F170" s="4">
        <v>937</v>
      </c>
      <c r="G170" s="4">
        <v>54229</v>
      </c>
      <c r="H170" s="4">
        <v>27124</v>
      </c>
      <c r="I170" s="4">
        <v>51180</v>
      </c>
      <c r="J170" s="5">
        <v>0</v>
      </c>
      <c r="K170" s="6">
        <v>502.086575</v>
      </c>
      <c r="L170" s="6">
        <v>503.26816199999996</v>
      </c>
      <c r="M170" s="6">
        <v>511.00233412</v>
      </c>
      <c r="N170" s="6">
        <v>5483.415864</v>
      </c>
      <c r="O170" s="6">
        <v>5484.8147702</v>
      </c>
      <c r="P170" s="6">
        <v>5492.07644872</v>
      </c>
      <c r="Q170" s="6">
        <v>20</v>
      </c>
      <c r="R170" s="6">
        <v>21</v>
      </c>
      <c r="S170" s="6">
        <v>21</v>
      </c>
      <c r="T170" s="6">
        <v>502.56607827304526</v>
      </c>
      <c r="U170" s="6">
        <v>5483.911707046522</v>
      </c>
      <c r="V170" s="6">
        <v>5489.540118314428</v>
      </c>
      <c r="W170" s="4">
        <v>0</v>
      </c>
      <c r="X170" s="4">
        <v>0</v>
      </c>
      <c r="Y170" s="4">
        <v>0</v>
      </c>
      <c r="Z170" s="4" t="s">
        <v>483</v>
      </c>
      <c r="AA170" s="4" t="s">
        <v>484</v>
      </c>
    </row>
    <row r="171" ht="30" customHeight="1" spans="1:27" x14ac:dyDescent="0.25">
      <c r="A171" s="4" t="s">
        <v>146</v>
      </c>
      <c r="B171" s="4" t="s">
        <v>87</v>
      </c>
      <c r="C171" s="4">
        <v>15000</v>
      </c>
      <c r="D171" s="4" t="s">
        <v>79</v>
      </c>
      <c r="E171" s="4">
        <v>9</v>
      </c>
      <c r="F171" s="4">
        <v>937</v>
      </c>
      <c r="G171" s="4">
        <v>54231</v>
      </c>
      <c r="H171" s="4">
        <v>27162</v>
      </c>
      <c r="I171" s="4">
        <v>51184</v>
      </c>
      <c r="J171" s="5">
        <v>0</v>
      </c>
      <c r="K171" s="6">
        <v>502.103294</v>
      </c>
      <c r="L171" s="6">
        <v>503.344605</v>
      </c>
      <c r="M171" s="6">
        <v>511.469772</v>
      </c>
      <c r="N171" s="6">
        <v>5483.445935</v>
      </c>
      <c r="O171" s="6">
        <v>5484.91117</v>
      </c>
      <c r="P171" s="6">
        <v>5493.3889702</v>
      </c>
      <c r="Q171" s="6">
        <v>20</v>
      </c>
      <c r="R171" s="6">
        <v>21</v>
      </c>
      <c r="S171" s="6">
        <v>21</v>
      </c>
      <c r="T171" s="6">
        <v>502.6063261306292</v>
      </c>
      <c r="U171" s="6">
        <v>5483.971823991476</v>
      </c>
      <c r="V171" s="6">
        <v>5489.445659102206</v>
      </c>
      <c r="W171" s="4">
        <v>0</v>
      </c>
      <c r="X171" s="4">
        <v>0</v>
      </c>
      <c r="Y171" s="4">
        <v>0</v>
      </c>
      <c r="Z171" s="4" t="s">
        <v>485</v>
      </c>
      <c r="AA171" s="4" t="s">
        <v>486</v>
      </c>
    </row>
    <row r="172" ht="30" customHeight="1" spans="1:27" x14ac:dyDescent="0.25">
      <c r="A172" s="4" t="s">
        <v>146</v>
      </c>
      <c r="B172" s="4" t="s">
        <v>87</v>
      </c>
      <c r="C172" s="4">
        <v>15000</v>
      </c>
      <c r="D172" s="4" t="s">
        <v>79</v>
      </c>
      <c r="E172" s="4">
        <v>10</v>
      </c>
      <c r="F172" s="4">
        <v>937</v>
      </c>
      <c r="G172" s="4">
        <v>54224</v>
      </c>
      <c r="H172" s="4">
        <v>27085</v>
      </c>
      <c r="I172" s="4">
        <v>51178</v>
      </c>
      <c r="J172" s="5">
        <v>0</v>
      </c>
      <c r="K172" s="6">
        <v>502.099356</v>
      </c>
      <c r="L172" s="6">
        <v>503.3236443</v>
      </c>
      <c r="M172" s="6">
        <v>511.86295308999996</v>
      </c>
      <c r="N172" s="6">
        <v>5483.4377325000005</v>
      </c>
      <c r="O172" s="6">
        <v>5484.8635649</v>
      </c>
      <c r="P172" s="6">
        <v>5493.0294331899995</v>
      </c>
      <c r="Q172" s="6">
        <v>20</v>
      </c>
      <c r="R172" s="6">
        <v>21</v>
      </c>
      <c r="S172" s="6">
        <v>21</v>
      </c>
      <c r="T172" s="6">
        <v>502.58402396295395</v>
      </c>
      <c r="U172" s="6">
        <v>5483.922198911937</v>
      </c>
      <c r="V172" s="6">
        <v>5489.660469500173</v>
      </c>
      <c r="W172" s="4">
        <v>0</v>
      </c>
      <c r="X172" s="4">
        <v>0</v>
      </c>
      <c r="Y172" s="4">
        <v>0</v>
      </c>
      <c r="Z172" s="4" t="s">
        <v>487</v>
      </c>
      <c r="AA172" s="4" t="s">
        <v>488</v>
      </c>
    </row>
    <row r="173" ht="30" customHeight="1" spans="1:27" x14ac:dyDescent="0.25">
      <c r="A173" s="4" t="s">
        <v>146</v>
      </c>
      <c r="B173" s="4" t="s">
        <v>87</v>
      </c>
      <c r="C173" s="4">
        <v>15000</v>
      </c>
      <c r="D173" s="4" t="s">
        <v>79</v>
      </c>
      <c r="E173" s="4">
        <v>11</v>
      </c>
      <c r="F173" s="4">
        <v>937</v>
      </c>
      <c r="G173" s="4">
        <v>54230</v>
      </c>
      <c r="H173" s="4">
        <v>27171</v>
      </c>
      <c r="I173" s="4">
        <v>51185</v>
      </c>
      <c r="J173" s="5">
        <v>0</v>
      </c>
      <c r="K173" s="6">
        <v>502.10173399999996</v>
      </c>
      <c r="L173" s="6">
        <v>503.28445139999997</v>
      </c>
      <c r="M173" s="6">
        <v>510.75635252</v>
      </c>
      <c r="N173" s="6">
        <v>5483.4190485</v>
      </c>
      <c r="O173" s="6">
        <v>5484.8199642</v>
      </c>
      <c r="P173" s="6">
        <v>5492.02133222</v>
      </c>
      <c r="Q173" s="6">
        <v>20</v>
      </c>
      <c r="R173" s="6">
        <v>21</v>
      </c>
      <c r="S173" s="6">
        <v>21</v>
      </c>
      <c r="T173" s="6">
        <v>502.51927318862204</v>
      </c>
      <c r="U173" s="6">
        <v>5483.860178992264</v>
      </c>
      <c r="V173" s="6">
        <v>5489.268498618204</v>
      </c>
      <c r="W173" s="4">
        <v>0</v>
      </c>
      <c r="X173" s="4">
        <v>0</v>
      </c>
      <c r="Y173" s="4">
        <v>0</v>
      </c>
      <c r="Z173" s="4" t="s">
        <v>489</v>
      </c>
      <c r="AA173" s="4" t="s">
        <v>490</v>
      </c>
    </row>
    <row r="174" ht="30" customHeight="1" spans="1:27" x14ac:dyDescent="0.25">
      <c r="A174" s="4" t="s">
        <v>146</v>
      </c>
      <c r="B174" s="4" t="s">
        <v>87</v>
      </c>
      <c r="C174" s="4">
        <v>15000</v>
      </c>
      <c r="D174" s="4" t="s">
        <v>79</v>
      </c>
      <c r="E174" s="4">
        <v>12</v>
      </c>
      <c r="F174" s="4">
        <v>937</v>
      </c>
      <c r="G174" s="4">
        <v>54225</v>
      </c>
      <c r="H174" s="4">
        <v>27155</v>
      </c>
      <c r="I174" s="4">
        <v>51180</v>
      </c>
      <c r="J174" s="5">
        <v>0</v>
      </c>
      <c r="K174" s="6">
        <v>502.089205</v>
      </c>
      <c r="L174" s="6">
        <v>503.25477939999996</v>
      </c>
      <c r="M174" s="6">
        <v>510.90913284000004</v>
      </c>
      <c r="N174" s="6">
        <v>5483.409229</v>
      </c>
      <c r="O174" s="6">
        <v>5484.8176622</v>
      </c>
      <c r="P174" s="6">
        <v>5493.16994672</v>
      </c>
      <c r="Q174" s="6">
        <v>20</v>
      </c>
      <c r="R174" s="6">
        <v>21</v>
      </c>
      <c r="S174" s="6">
        <v>21</v>
      </c>
      <c r="T174" s="6">
        <v>502.53692119371544</v>
      </c>
      <c r="U174" s="6">
        <v>5483.898625210531</v>
      </c>
      <c r="V174" s="6">
        <v>5489.517489462863</v>
      </c>
      <c r="W174" s="4">
        <v>0</v>
      </c>
      <c r="X174" s="4">
        <v>0</v>
      </c>
      <c r="Y174" s="4">
        <v>0</v>
      </c>
      <c r="Z174" s="4" t="s">
        <v>491</v>
      </c>
      <c r="AA174" s="4" t="s">
        <v>492</v>
      </c>
    </row>
    <row r="175" ht="30" customHeight="1" spans="1:27" x14ac:dyDescent="0.25">
      <c r="A175" s="4" t="s">
        <v>146</v>
      </c>
      <c r="B175" s="4" t="s">
        <v>87</v>
      </c>
      <c r="C175" s="4">
        <v>15000</v>
      </c>
      <c r="D175" s="4" t="s">
        <v>79</v>
      </c>
      <c r="E175" s="4">
        <v>13</v>
      </c>
      <c r="F175" s="4">
        <v>937</v>
      </c>
      <c r="G175" s="4">
        <v>54225</v>
      </c>
      <c r="H175" s="4">
        <v>27159</v>
      </c>
      <c r="I175" s="4">
        <v>51179</v>
      </c>
      <c r="J175" s="5">
        <v>0</v>
      </c>
      <c r="K175" s="6">
        <v>502.105013</v>
      </c>
      <c r="L175" s="6">
        <v>503.3359612</v>
      </c>
      <c r="M175" s="6">
        <v>511.47051132</v>
      </c>
      <c r="N175" s="6">
        <v>5483.432921</v>
      </c>
      <c r="O175" s="6">
        <v>5484.8931256</v>
      </c>
      <c r="P175" s="6">
        <v>5493.42421428</v>
      </c>
      <c r="Q175" s="6">
        <v>20</v>
      </c>
      <c r="R175" s="6">
        <v>21</v>
      </c>
      <c r="S175" s="6">
        <v>21</v>
      </c>
      <c r="T175" s="6">
        <v>502.58790110316227</v>
      </c>
      <c r="U175" s="6">
        <v>5483.947870590412</v>
      </c>
      <c r="V175" s="6">
        <v>5489.444780893753</v>
      </c>
      <c r="W175" s="4">
        <v>0</v>
      </c>
      <c r="X175" s="4">
        <v>0</v>
      </c>
      <c r="Y175" s="4">
        <v>0</v>
      </c>
      <c r="Z175" s="4" t="s">
        <v>493</v>
      </c>
      <c r="AA175" s="4" t="s">
        <v>494</v>
      </c>
    </row>
    <row r="176" ht="30" customHeight="1" spans="1:27" x14ac:dyDescent="0.25">
      <c r="A176" s="4" t="s">
        <v>146</v>
      </c>
      <c r="B176" s="4" t="s">
        <v>87</v>
      </c>
      <c r="C176" s="4">
        <v>15000</v>
      </c>
      <c r="D176" s="4" t="s">
        <v>79</v>
      </c>
      <c r="E176" s="4">
        <v>14</v>
      </c>
      <c r="F176" s="4">
        <v>937</v>
      </c>
      <c r="G176" s="4">
        <v>54221</v>
      </c>
      <c r="H176" s="4">
        <v>27032</v>
      </c>
      <c r="I176" s="4">
        <v>51175</v>
      </c>
      <c r="J176" s="5">
        <v>0</v>
      </c>
      <c r="K176" s="6">
        <v>502.103397</v>
      </c>
      <c r="L176" s="6">
        <v>503.326335</v>
      </c>
      <c r="M176" s="6">
        <v>511.6911232000003</v>
      </c>
      <c r="N176" s="6">
        <v>5483.429942</v>
      </c>
      <c r="O176" s="6">
        <v>5484.873646</v>
      </c>
      <c r="P176" s="6">
        <v>5493.3029276</v>
      </c>
      <c r="Q176" s="6">
        <v>20</v>
      </c>
      <c r="R176" s="6">
        <v>21</v>
      </c>
      <c r="S176" s="6">
        <v>21</v>
      </c>
      <c r="T176" s="6">
        <v>502.59030307668485</v>
      </c>
      <c r="U176" s="6">
        <v>5483.952227343435</v>
      </c>
      <c r="V176" s="6">
        <v>5489.395433052945</v>
      </c>
      <c r="W176" s="4">
        <v>0</v>
      </c>
      <c r="X176" s="4">
        <v>0</v>
      </c>
      <c r="Y176" s="4">
        <v>0</v>
      </c>
      <c r="Z176" s="4" t="s">
        <v>495</v>
      </c>
      <c r="AA176" s="4" t="s">
        <v>496</v>
      </c>
    </row>
    <row r="177" ht="30" customHeight="1" spans="1:27" x14ac:dyDescent="0.25">
      <c r="A177" s="4" t="s">
        <v>146</v>
      </c>
      <c r="B177" s="4" t="s">
        <v>87</v>
      </c>
      <c r="C177" s="4">
        <v>15000</v>
      </c>
      <c r="D177" s="4" t="s">
        <v>79</v>
      </c>
      <c r="E177" s="4">
        <v>15</v>
      </c>
      <c r="F177" s="4">
        <v>937</v>
      </c>
      <c r="G177" s="4">
        <v>54229</v>
      </c>
      <c r="H177" s="4">
        <v>27104</v>
      </c>
      <c r="I177" s="4">
        <v>51182</v>
      </c>
      <c r="J177" s="5">
        <v>0</v>
      </c>
      <c r="K177" s="6">
        <v>502.088785</v>
      </c>
      <c r="L177" s="6">
        <v>503.2684572</v>
      </c>
      <c r="M177" s="6">
        <v>510.7158408</v>
      </c>
      <c r="N177" s="6">
        <v>5483.414218</v>
      </c>
      <c r="O177" s="6">
        <v>5484.8299472</v>
      </c>
      <c r="P177" s="6">
        <v>5492.570987319999</v>
      </c>
      <c r="Q177" s="6">
        <v>20</v>
      </c>
      <c r="R177" s="6">
        <v>21</v>
      </c>
      <c r="S177" s="6">
        <v>21</v>
      </c>
      <c r="T177" s="6">
        <v>502.55816323467167</v>
      </c>
      <c r="U177" s="6">
        <v>5483.93667208005</v>
      </c>
      <c r="V177" s="6">
        <v>5489.571300542754</v>
      </c>
      <c r="W177" s="4">
        <v>0</v>
      </c>
      <c r="X177" s="4">
        <v>0</v>
      </c>
      <c r="Y177" s="4">
        <v>0</v>
      </c>
      <c r="Z177" s="4" t="s">
        <v>497</v>
      </c>
      <c r="AA177" s="4" t="s">
        <v>498</v>
      </c>
    </row>
    <row r="178" ht="30" customHeight="1" spans="1:27" x14ac:dyDescent="0.25">
      <c r="A178" s="4" t="s">
        <v>146</v>
      </c>
      <c r="B178" s="4" t="s">
        <v>87</v>
      </c>
      <c r="C178" s="4">
        <v>18000</v>
      </c>
      <c r="D178" s="4" t="s">
        <v>79</v>
      </c>
      <c r="E178" s="4">
        <v>0</v>
      </c>
      <c r="F178" s="4">
        <v>1125</v>
      </c>
      <c r="G178" s="4">
        <v>65112</v>
      </c>
      <c r="H178" s="4">
        <v>32685</v>
      </c>
      <c r="I178" s="4">
        <v>61450</v>
      </c>
      <c r="J178" s="5">
        <v>0</v>
      </c>
      <c r="K178" s="6">
        <v>502.1516735</v>
      </c>
      <c r="L178" s="6">
        <v>504.1471792</v>
      </c>
      <c r="M178" s="6">
        <v>517.71031114</v>
      </c>
      <c r="N178" s="6">
        <v>5483.5221365</v>
      </c>
      <c r="O178" s="6">
        <v>5485.9982701</v>
      </c>
      <c r="P178" s="6">
        <v>5498.89084178</v>
      </c>
      <c r="Q178" s="6">
        <v>20</v>
      </c>
      <c r="R178" s="6">
        <v>21</v>
      </c>
      <c r="S178" s="6">
        <v>21</v>
      </c>
      <c r="T178" s="6">
        <v>503.0812411771158</v>
      </c>
      <c r="U178" s="6">
        <v>5484.501338299677</v>
      </c>
      <c r="V178" s="6">
        <v>5489.302489338041</v>
      </c>
      <c r="W178" s="4">
        <v>0</v>
      </c>
      <c r="X178" s="4">
        <v>0</v>
      </c>
      <c r="Y178" s="4">
        <v>0</v>
      </c>
      <c r="Z178" s="4" t="s">
        <v>499</v>
      </c>
      <c r="AA178" s="4" t="s">
        <v>500</v>
      </c>
    </row>
    <row r="179" ht="30" customHeight="1" spans="1:27" x14ac:dyDescent="0.25">
      <c r="A179" s="4" t="s">
        <v>146</v>
      </c>
      <c r="B179" s="4" t="s">
        <v>87</v>
      </c>
      <c r="C179" s="4">
        <v>18000</v>
      </c>
      <c r="D179" s="4" t="s">
        <v>79</v>
      </c>
      <c r="E179" s="4">
        <v>1</v>
      </c>
      <c r="F179" s="4">
        <v>1125</v>
      </c>
      <c r="G179" s="4">
        <v>65115</v>
      </c>
      <c r="H179" s="4">
        <v>32531</v>
      </c>
      <c r="I179" s="4">
        <v>61455</v>
      </c>
      <c r="J179" s="5">
        <v>0</v>
      </c>
      <c r="K179" s="6">
        <v>502.141337</v>
      </c>
      <c r="L179" s="6">
        <v>503.9856168</v>
      </c>
      <c r="M179" s="6">
        <v>516.03910004</v>
      </c>
      <c r="N179" s="6">
        <v>5483.515395</v>
      </c>
      <c r="O179" s="6">
        <v>5485.8881364</v>
      </c>
      <c r="P179" s="6">
        <v>5497.5953921</v>
      </c>
      <c r="Q179" s="6">
        <v>20</v>
      </c>
      <c r="R179" s="6">
        <v>21</v>
      </c>
      <c r="S179" s="6">
        <v>21</v>
      </c>
      <c r="T179" s="6">
        <v>502.90828181560113</v>
      </c>
      <c r="U179" s="6">
        <v>5484.358191227698</v>
      </c>
      <c r="V179" s="6">
        <v>5489.121193519473</v>
      </c>
      <c r="W179" s="4">
        <v>0</v>
      </c>
      <c r="X179" s="4">
        <v>0</v>
      </c>
      <c r="Y179" s="4">
        <v>0</v>
      </c>
      <c r="Z179" s="4" t="s">
        <v>501</v>
      </c>
      <c r="AA179" s="4" t="s">
        <v>502</v>
      </c>
    </row>
    <row r="180" ht="30" customHeight="1" spans="1:27" x14ac:dyDescent="0.25">
      <c r="A180" s="4" t="s">
        <v>146</v>
      </c>
      <c r="B180" s="4" t="s">
        <v>87</v>
      </c>
      <c r="C180" s="4">
        <v>18000</v>
      </c>
      <c r="D180" s="4" t="s">
        <v>79</v>
      </c>
      <c r="E180" s="4">
        <v>2</v>
      </c>
      <c r="F180" s="4">
        <v>1125</v>
      </c>
      <c r="G180" s="4">
        <v>65114</v>
      </c>
      <c r="H180" s="4">
        <v>32663</v>
      </c>
      <c r="I180" s="4">
        <v>61452</v>
      </c>
      <c r="J180" s="5">
        <v>0</v>
      </c>
      <c r="K180" s="6">
        <v>502.133311</v>
      </c>
      <c r="L180" s="6">
        <v>504.1598599</v>
      </c>
      <c r="M180" s="6">
        <v>518.56546753</v>
      </c>
      <c r="N180" s="6">
        <v>5483.520216</v>
      </c>
      <c r="O180" s="6">
        <v>5486.0337866</v>
      </c>
      <c r="P180" s="6">
        <v>5499.36829378</v>
      </c>
      <c r="Q180" s="6">
        <v>20</v>
      </c>
      <c r="R180" s="6">
        <v>21</v>
      </c>
      <c r="S180" s="6">
        <v>21</v>
      </c>
      <c r="T180" s="6">
        <v>503.0698975302284</v>
      </c>
      <c r="U180" s="6">
        <v>5484.476426761772</v>
      </c>
      <c r="V180" s="6">
        <v>5489.585821914875</v>
      </c>
      <c r="W180" s="4">
        <v>0</v>
      </c>
      <c r="X180" s="4">
        <v>0</v>
      </c>
      <c r="Y180" s="4">
        <v>0</v>
      </c>
      <c r="Z180" s="4" t="s">
        <v>503</v>
      </c>
      <c r="AA180" s="4" t="s">
        <v>504</v>
      </c>
    </row>
    <row r="181" ht="30" customHeight="1" spans="1:27" x14ac:dyDescent="0.25">
      <c r="A181" s="4" t="s">
        <v>146</v>
      </c>
      <c r="B181" s="4" t="s">
        <v>87</v>
      </c>
      <c r="C181" s="4">
        <v>18000</v>
      </c>
      <c r="D181" s="4" t="s">
        <v>79</v>
      </c>
      <c r="E181" s="4">
        <v>3</v>
      </c>
      <c r="F181" s="4">
        <v>1125</v>
      </c>
      <c r="G181" s="4">
        <v>65106</v>
      </c>
      <c r="H181" s="4">
        <v>32675</v>
      </c>
      <c r="I181" s="4">
        <v>61445</v>
      </c>
      <c r="J181" s="5">
        <v>0</v>
      </c>
      <c r="K181" s="6">
        <v>502.13511800000003</v>
      </c>
      <c r="L181" s="6">
        <v>504.1270475</v>
      </c>
      <c r="M181" s="6">
        <v>519.3136395999999</v>
      </c>
      <c r="N181" s="6">
        <v>5483.511106</v>
      </c>
      <c r="O181" s="6">
        <v>5485.9464505</v>
      </c>
      <c r="P181" s="6">
        <v>5499.08656535</v>
      </c>
      <c r="Q181" s="6">
        <v>20</v>
      </c>
      <c r="R181" s="6">
        <v>21</v>
      </c>
      <c r="S181" s="6">
        <v>21</v>
      </c>
      <c r="T181" s="6">
        <v>503.03298673429384</v>
      </c>
      <c r="U181" s="6">
        <v>5484.410336379696</v>
      </c>
      <c r="V181" s="6">
        <v>5489.536187197127</v>
      </c>
      <c r="W181" s="4">
        <v>0</v>
      </c>
      <c r="X181" s="4">
        <v>0</v>
      </c>
      <c r="Y181" s="4">
        <v>0</v>
      </c>
      <c r="Z181" s="4" t="s">
        <v>505</v>
      </c>
      <c r="AA181" s="4" t="s">
        <v>506</v>
      </c>
    </row>
    <row r="182" ht="30" customHeight="1" spans="1:27" x14ac:dyDescent="0.25">
      <c r="A182" s="4" t="s">
        <v>146</v>
      </c>
      <c r="B182" s="4" t="s">
        <v>87</v>
      </c>
      <c r="C182" s="4">
        <v>18000</v>
      </c>
      <c r="D182" s="4" t="s">
        <v>79</v>
      </c>
      <c r="E182" s="4">
        <v>4</v>
      </c>
      <c r="F182" s="4">
        <v>1125</v>
      </c>
      <c r="G182" s="4">
        <v>65120</v>
      </c>
      <c r="H182" s="4">
        <v>32599</v>
      </c>
      <c r="I182" s="4">
        <v>61458</v>
      </c>
      <c r="J182" s="5">
        <v>0</v>
      </c>
      <c r="K182" s="6">
        <v>502.1425575</v>
      </c>
      <c r="L182" s="6">
        <v>504.0701409</v>
      </c>
      <c r="M182" s="6">
        <v>516.86633076</v>
      </c>
      <c r="N182" s="6">
        <v>5483.5101525</v>
      </c>
      <c r="O182" s="6">
        <v>5485.8675415</v>
      </c>
      <c r="P182" s="6">
        <v>5498.0419564</v>
      </c>
      <c r="Q182" s="6">
        <v>20</v>
      </c>
      <c r="R182" s="6">
        <v>21</v>
      </c>
      <c r="S182" s="6">
        <v>21</v>
      </c>
      <c r="T182" s="6">
        <v>502.9620397449959</v>
      </c>
      <c r="U182" s="6">
        <v>5484.358714585237</v>
      </c>
      <c r="V182" s="6">
        <v>5489.148679826442</v>
      </c>
      <c r="W182" s="4">
        <v>0</v>
      </c>
      <c r="X182" s="4">
        <v>0</v>
      </c>
      <c r="Y182" s="4">
        <v>0</v>
      </c>
      <c r="Z182" s="4" t="s">
        <v>507</v>
      </c>
      <c r="AA182" s="4" t="s">
        <v>508</v>
      </c>
    </row>
    <row r="183" ht="30" customHeight="1" spans="1:27" x14ac:dyDescent="0.25">
      <c r="A183" s="4" t="s">
        <v>146</v>
      </c>
      <c r="B183" s="4" t="s">
        <v>87</v>
      </c>
      <c r="C183" s="4">
        <v>18000</v>
      </c>
      <c r="D183" s="4" t="s">
        <v>79</v>
      </c>
      <c r="E183" s="4">
        <v>5</v>
      </c>
      <c r="F183" s="4">
        <v>1125</v>
      </c>
      <c r="G183" s="4">
        <v>65111</v>
      </c>
      <c r="H183" s="4">
        <v>32564</v>
      </c>
      <c r="I183" s="4">
        <v>61451</v>
      </c>
      <c r="J183" s="5">
        <v>0</v>
      </c>
      <c r="K183" s="6">
        <v>502.126188</v>
      </c>
      <c r="L183" s="6">
        <v>503.970595</v>
      </c>
      <c r="M183" s="6">
        <v>515.7287513</v>
      </c>
      <c r="N183" s="6">
        <v>5483.514952</v>
      </c>
      <c r="O183" s="6">
        <v>5485.913857</v>
      </c>
      <c r="P183" s="6">
        <v>5497.9199454</v>
      </c>
      <c r="Q183" s="6">
        <v>20</v>
      </c>
      <c r="R183" s="6">
        <v>21</v>
      </c>
      <c r="S183" s="6">
        <v>21</v>
      </c>
      <c r="T183" s="6">
        <v>502.9053000557051</v>
      </c>
      <c r="U183" s="6">
        <v>5484.369438305165</v>
      </c>
      <c r="V183" s="6">
        <v>5489.473599779689</v>
      </c>
      <c r="W183" s="4">
        <v>0</v>
      </c>
      <c r="X183" s="4">
        <v>0</v>
      </c>
      <c r="Y183" s="4">
        <v>0</v>
      </c>
      <c r="Z183" s="4" t="s">
        <v>509</v>
      </c>
      <c r="AA183" s="4" t="s">
        <v>510</v>
      </c>
    </row>
    <row r="184" ht="30" customHeight="1" spans="1:27" x14ac:dyDescent="0.25">
      <c r="A184" s="4" t="s">
        <v>146</v>
      </c>
      <c r="B184" s="4" t="s">
        <v>87</v>
      </c>
      <c r="C184" s="4">
        <v>18000</v>
      </c>
      <c r="D184" s="4" t="s">
        <v>79</v>
      </c>
      <c r="E184" s="4">
        <v>6</v>
      </c>
      <c r="F184" s="4">
        <v>1125</v>
      </c>
      <c r="G184" s="4">
        <v>65118</v>
      </c>
      <c r="H184" s="4">
        <v>32659</v>
      </c>
      <c r="I184" s="4">
        <v>61457</v>
      </c>
      <c r="J184" s="5">
        <v>0</v>
      </c>
      <c r="K184" s="6">
        <v>502.1366665</v>
      </c>
      <c r="L184" s="6">
        <v>503.9806988</v>
      </c>
      <c r="M184" s="6">
        <v>516.42133651</v>
      </c>
      <c r="N184" s="6">
        <v>5483.508062</v>
      </c>
      <c r="O184" s="6">
        <v>5485.8045935</v>
      </c>
      <c r="P184" s="6">
        <v>5497.83635395</v>
      </c>
      <c r="Q184" s="6">
        <v>20</v>
      </c>
      <c r="R184" s="6">
        <v>21</v>
      </c>
      <c r="S184" s="6">
        <v>21</v>
      </c>
      <c r="T184" s="6">
        <v>502.95465481399935</v>
      </c>
      <c r="U184" s="6">
        <v>5484.377765323352</v>
      </c>
      <c r="V184" s="6">
        <v>5489.16686064313</v>
      </c>
      <c r="W184" s="4">
        <v>0</v>
      </c>
      <c r="X184" s="4">
        <v>0</v>
      </c>
      <c r="Y184" s="4">
        <v>0</v>
      </c>
      <c r="Z184" s="4" t="s">
        <v>511</v>
      </c>
      <c r="AA184" s="4" t="s">
        <v>512</v>
      </c>
    </row>
    <row r="185" ht="30" customHeight="1" spans="1:27" x14ac:dyDescent="0.25">
      <c r="A185" s="4" t="s">
        <v>146</v>
      </c>
      <c r="B185" s="4" t="s">
        <v>87</v>
      </c>
      <c r="C185" s="4">
        <v>18000</v>
      </c>
      <c r="D185" s="4" t="s">
        <v>79</v>
      </c>
      <c r="E185" s="4">
        <v>7</v>
      </c>
      <c r="F185" s="4">
        <v>1125</v>
      </c>
      <c r="G185" s="4">
        <v>65106</v>
      </c>
      <c r="H185" s="4">
        <v>32444</v>
      </c>
      <c r="I185" s="4">
        <v>61445</v>
      </c>
      <c r="J185" s="5">
        <v>0</v>
      </c>
      <c r="K185" s="6">
        <v>502.132486</v>
      </c>
      <c r="L185" s="6">
        <v>504.1251295</v>
      </c>
      <c r="M185" s="6">
        <v>516.4158316999999</v>
      </c>
      <c r="N185" s="6">
        <v>5483.534938000001</v>
      </c>
      <c r="O185" s="6">
        <v>5486.064892</v>
      </c>
      <c r="P185" s="6">
        <v>5498.30166695</v>
      </c>
      <c r="Q185" s="6">
        <v>20</v>
      </c>
      <c r="R185" s="6">
        <v>21</v>
      </c>
      <c r="S185" s="6">
        <v>21</v>
      </c>
      <c r="T185" s="6">
        <v>502.94010976942695</v>
      </c>
      <c r="U185" s="6">
        <v>5484.415661009107</v>
      </c>
      <c r="V185" s="6">
        <v>5489.488869399776</v>
      </c>
      <c r="W185" s="4">
        <v>0</v>
      </c>
      <c r="X185" s="4">
        <v>0</v>
      </c>
      <c r="Y185" s="4">
        <v>0</v>
      </c>
      <c r="Z185" s="4" t="s">
        <v>513</v>
      </c>
      <c r="AA185" s="4" t="s">
        <v>514</v>
      </c>
    </row>
    <row r="186" ht="30" customHeight="1" spans="1:27" x14ac:dyDescent="0.25">
      <c r="A186" s="4" t="s">
        <v>146</v>
      </c>
      <c r="B186" s="4" t="s">
        <v>87</v>
      </c>
      <c r="C186" s="4">
        <v>18000</v>
      </c>
      <c r="D186" s="4" t="s">
        <v>79</v>
      </c>
      <c r="E186" s="4">
        <v>8</v>
      </c>
      <c r="F186" s="4">
        <v>1125</v>
      </c>
      <c r="G186" s="4">
        <v>65107</v>
      </c>
      <c r="H186" s="4">
        <v>32495</v>
      </c>
      <c r="I186" s="4">
        <v>61448</v>
      </c>
      <c r="J186" s="5">
        <v>0</v>
      </c>
      <c r="K186" s="6">
        <v>502.122797</v>
      </c>
      <c r="L186" s="6">
        <v>504.086507</v>
      </c>
      <c r="M186" s="6">
        <v>516.8896518800001</v>
      </c>
      <c r="N186" s="6">
        <v>5483.509563</v>
      </c>
      <c r="O186" s="6">
        <v>5485.9749776</v>
      </c>
      <c r="P186" s="6">
        <v>5498.3524762199995</v>
      </c>
      <c r="Q186" s="6">
        <v>20</v>
      </c>
      <c r="R186" s="6">
        <v>21</v>
      </c>
      <c r="S186" s="6">
        <v>21</v>
      </c>
      <c r="T186" s="6">
        <v>502.9557476237423</v>
      </c>
      <c r="U186" s="6">
        <v>5484.398118121814</v>
      </c>
      <c r="V186" s="6">
        <v>5489.43612659796</v>
      </c>
      <c r="W186" s="4">
        <v>0</v>
      </c>
      <c r="X186" s="4">
        <v>0</v>
      </c>
      <c r="Y186" s="4">
        <v>0</v>
      </c>
      <c r="Z186" s="4" t="s">
        <v>515</v>
      </c>
      <c r="AA186" s="4" t="s">
        <v>516</v>
      </c>
    </row>
    <row r="187" ht="30" customHeight="1" spans="1:27" x14ac:dyDescent="0.25">
      <c r="A187" s="4" t="s">
        <v>146</v>
      </c>
      <c r="B187" s="4" t="s">
        <v>87</v>
      </c>
      <c r="C187" s="4">
        <v>18000</v>
      </c>
      <c r="D187" s="4" t="s">
        <v>79</v>
      </c>
      <c r="E187" s="4">
        <v>9</v>
      </c>
      <c r="F187" s="4">
        <v>1125</v>
      </c>
      <c r="G187" s="4">
        <v>65111</v>
      </c>
      <c r="H187" s="4">
        <v>32981</v>
      </c>
      <c r="I187" s="4">
        <v>61452</v>
      </c>
      <c r="J187" s="5">
        <v>0</v>
      </c>
      <c r="K187" s="6">
        <v>502.139259</v>
      </c>
      <c r="L187" s="6">
        <v>504.147308</v>
      </c>
      <c r="M187" s="6">
        <v>517.9313372</v>
      </c>
      <c r="N187" s="6">
        <v>5483.531764</v>
      </c>
      <c r="O187" s="6">
        <v>5486.110784</v>
      </c>
      <c r="P187" s="6">
        <v>5499.2803387</v>
      </c>
      <c r="Q187" s="6">
        <v>20</v>
      </c>
      <c r="R187" s="6">
        <v>21</v>
      </c>
      <c r="S187" s="6">
        <v>21</v>
      </c>
      <c r="T187" s="6">
        <v>503.0125554257598</v>
      </c>
      <c r="U187" s="6">
        <v>5484.472120883145</v>
      </c>
      <c r="V187" s="6">
        <v>5489.638236224635</v>
      </c>
      <c r="W187" s="4">
        <v>0</v>
      </c>
      <c r="X187" s="4">
        <v>0</v>
      </c>
      <c r="Y187" s="4">
        <v>0</v>
      </c>
      <c r="Z187" s="4" t="s">
        <v>517</v>
      </c>
      <c r="AA187" s="4" t="s">
        <v>518</v>
      </c>
    </row>
    <row r="188" ht="30" customHeight="1" spans="1:27" x14ac:dyDescent="0.25">
      <c r="A188" s="4" t="s">
        <v>146</v>
      </c>
      <c r="B188" s="4" t="s">
        <v>87</v>
      </c>
      <c r="C188" s="4">
        <v>18000</v>
      </c>
      <c r="D188" s="4" t="s">
        <v>79</v>
      </c>
      <c r="E188" s="4">
        <v>10</v>
      </c>
      <c r="F188" s="4">
        <v>1125</v>
      </c>
      <c r="G188" s="4">
        <v>65111</v>
      </c>
      <c r="H188" s="4">
        <v>32561</v>
      </c>
      <c r="I188" s="4">
        <v>61451</v>
      </c>
      <c r="J188" s="5">
        <v>0</v>
      </c>
      <c r="K188" s="6">
        <v>502.129835</v>
      </c>
      <c r="L188" s="6">
        <v>504.073336</v>
      </c>
      <c r="M188" s="6">
        <v>516.7165872</v>
      </c>
      <c r="N188" s="6">
        <v>5483.510347</v>
      </c>
      <c r="O188" s="6">
        <v>5485.966931</v>
      </c>
      <c r="P188" s="6">
        <v>5498.8356645</v>
      </c>
      <c r="Q188" s="6">
        <v>20</v>
      </c>
      <c r="R188" s="6">
        <v>21</v>
      </c>
      <c r="S188" s="6">
        <v>21</v>
      </c>
      <c r="T188" s="6">
        <v>502.96927117793456</v>
      </c>
      <c r="U188" s="6">
        <v>5484.405961910805</v>
      </c>
      <c r="V188" s="6">
        <v>5489.50883252539</v>
      </c>
      <c r="W188" s="4">
        <v>0</v>
      </c>
      <c r="X188" s="4">
        <v>0</v>
      </c>
      <c r="Y188" s="4">
        <v>0</v>
      </c>
      <c r="Z188" s="4" t="s">
        <v>519</v>
      </c>
      <c r="AA188" s="4" t="s">
        <v>520</v>
      </c>
    </row>
    <row r="189" ht="30" customHeight="1" spans="1:27" x14ac:dyDescent="0.25">
      <c r="A189" s="4" t="s">
        <v>146</v>
      </c>
      <c r="B189" s="4" t="s">
        <v>87</v>
      </c>
      <c r="C189" s="4">
        <v>18000</v>
      </c>
      <c r="D189" s="4" t="s">
        <v>79</v>
      </c>
      <c r="E189" s="4">
        <v>11</v>
      </c>
      <c r="F189" s="4">
        <v>1125</v>
      </c>
      <c r="G189" s="4">
        <v>65117</v>
      </c>
      <c r="H189" s="4">
        <v>32425</v>
      </c>
      <c r="I189" s="4">
        <v>61458</v>
      </c>
      <c r="J189" s="5">
        <v>0</v>
      </c>
      <c r="K189" s="6">
        <v>502.143333</v>
      </c>
      <c r="L189" s="6">
        <v>504.0733926</v>
      </c>
      <c r="M189" s="6">
        <v>517.74390396</v>
      </c>
      <c r="N189" s="6">
        <v>5483.512717</v>
      </c>
      <c r="O189" s="6">
        <v>5485.8545216</v>
      </c>
      <c r="P189" s="6">
        <v>5498.12197672</v>
      </c>
      <c r="Q189" s="6">
        <v>20</v>
      </c>
      <c r="R189" s="6">
        <v>21</v>
      </c>
      <c r="S189" s="6">
        <v>21</v>
      </c>
      <c r="T189" s="6">
        <v>502.9982039827566</v>
      </c>
      <c r="U189" s="6">
        <v>5484.404887131744</v>
      </c>
      <c r="V189" s="6">
        <v>5489.160433222801</v>
      </c>
      <c r="W189" s="4">
        <v>0</v>
      </c>
      <c r="X189" s="4">
        <v>0</v>
      </c>
      <c r="Y189" s="4">
        <v>0</v>
      </c>
      <c r="Z189" s="4" t="s">
        <v>521</v>
      </c>
      <c r="AA189" s="4" t="s">
        <v>522</v>
      </c>
    </row>
    <row r="190" ht="30" customHeight="1" spans="1:27" x14ac:dyDescent="0.25">
      <c r="A190" s="4" t="s">
        <v>146</v>
      </c>
      <c r="B190" s="4" t="s">
        <v>87</v>
      </c>
      <c r="C190" s="4">
        <v>18000</v>
      </c>
      <c r="D190" s="4" t="s">
        <v>79</v>
      </c>
      <c r="E190" s="4">
        <v>12</v>
      </c>
      <c r="F190" s="4">
        <v>1125</v>
      </c>
      <c r="G190" s="4">
        <v>65110</v>
      </c>
      <c r="H190" s="4">
        <v>32511</v>
      </c>
      <c r="I190" s="4">
        <v>61448</v>
      </c>
      <c r="J190" s="5">
        <v>0</v>
      </c>
      <c r="K190" s="6">
        <v>502.14257399999997</v>
      </c>
      <c r="L190" s="6">
        <v>504.057476</v>
      </c>
      <c r="M190" s="6">
        <v>516.5468590299998</v>
      </c>
      <c r="N190" s="6">
        <v>5483.5116825000005</v>
      </c>
      <c r="O190" s="6">
        <v>5485.8865086000005</v>
      </c>
      <c r="P190" s="6">
        <v>5498.17461135</v>
      </c>
      <c r="Q190" s="6">
        <v>20</v>
      </c>
      <c r="R190" s="6">
        <v>21</v>
      </c>
      <c r="S190" s="6">
        <v>21</v>
      </c>
      <c r="T190" s="6">
        <v>502.957709259853</v>
      </c>
      <c r="U190" s="6">
        <v>5484.389593939169</v>
      </c>
      <c r="V190" s="6">
        <v>5489.158640827647</v>
      </c>
      <c r="W190" s="4">
        <v>0</v>
      </c>
      <c r="X190" s="4">
        <v>0</v>
      </c>
      <c r="Y190" s="4">
        <v>0</v>
      </c>
      <c r="Z190" s="4" t="s">
        <v>523</v>
      </c>
      <c r="AA190" s="4" t="s">
        <v>524</v>
      </c>
    </row>
    <row r="191" ht="30" customHeight="1" spans="1:27" x14ac:dyDescent="0.25">
      <c r="A191" s="4" t="s">
        <v>146</v>
      </c>
      <c r="B191" s="4" t="s">
        <v>87</v>
      </c>
      <c r="C191" s="4">
        <v>18000</v>
      </c>
      <c r="D191" s="4" t="s">
        <v>79</v>
      </c>
      <c r="E191" s="4">
        <v>13</v>
      </c>
      <c r="F191" s="4">
        <v>1125</v>
      </c>
      <c r="G191" s="4">
        <v>65104</v>
      </c>
      <c r="H191" s="4">
        <v>32579</v>
      </c>
      <c r="I191" s="4">
        <v>61443</v>
      </c>
      <c r="J191" s="5">
        <v>0</v>
      </c>
      <c r="K191" s="6">
        <v>502.138598</v>
      </c>
      <c r="L191" s="6">
        <v>503.9302519</v>
      </c>
      <c r="M191" s="6">
        <v>516.1321685700001</v>
      </c>
      <c r="N191" s="6">
        <v>5483.5053554999995</v>
      </c>
      <c r="O191" s="6">
        <v>5485.8598957</v>
      </c>
      <c r="P191" s="6">
        <v>5498.0079499</v>
      </c>
      <c r="Q191" s="6">
        <v>20</v>
      </c>
      <c r="R191" s="6">
        <v>21</v>
      </c>
      <c r="S191" s="6">
        <v>21</v>
      </c>
      <c r="T191" s="6">
        <v>502.92644177033236</v>
      </c>
      <c r="U191" s="6">
        <v>5484.374200641422</v>
      </c>
      <c r="V191" s="6">
        <v>5489.121653146266</v>
      </c>
      <c r="W191" s="4">
        <v>0</v>
      </c>
      <c r="X191" s="4">
        <v>0</v>
      </c>
      <c r="Y191" s="4">
        <v>0</v>
      </c>
      <c r="Z191" s="4" t="s">
        <v>525</v>
      </c>
      <c r="AA191" s="4" t="s">
        <v>526</v>
      </c>
    </row>
    <row r="192" ht="30" customHeight="1" spans="1:27" x14ac:dyDescent="0.25">
      <c r="A192" s="4" t="s">
        <v>146</v>
      </c>
      <c r="B192" s="4" t="s">
        <v>87</v>
      </c>
      <c r="C192" s="4">
        <v>18000</v>
      </c>
      <c r="D192" s="4" t="s">
        <v>79</v>
      </c>
      <c r="E192" s="4">
        <v>14</v>
      </c>
      <c r="F192" s="4">
        <v>1125</v>
      </c>
      <c r="G192" s="4">
        <v>65105</v>
      </c>
      <c r="H192" s="4">
        <v>32435</v>
      </c>
      <c r="I192" s="4">
        <v>61449</v>
      </c>
      <c r="J192" s="5">
        <v>0</v>
      </c>
      <c r="K192" s="6">
        <v>502.153697</v>
      </c>
      <c r="L192" s="6">
        <v>504.1967342</v>
      </c>
      <c r="M192" s="6">
        <v>517.96870644</v>
      </c>
      <c r="N192" s="6">
        <v>5483.540205</v>
      </c>
      <c r="O192" s="6">
        <v>5486.035011800001</v>
      </c>
      <c r="P192" s="6">
        <v>5499.00465236</v>
      </c>
      <c r="Q192" s="6">
        <v>20</v>
      </c>
      <c r="R192" s="6">
        <v>21</v>
      </c>
      <c r="S192" s="6">
        <v>21</v>
      </c>
      <c r="T192" s="6">
        <v>503.028882770785</v>
      </c>
      <c r="U192" s="6">
        <v>5484.452301062732</v>
      </c>
      <c r="V192" s="6">
        <v>5489.266907584474</v>
      </c>
      <c r="W192" s="4">
        <v>0</v>
      </c>
      <c r="X192" s="4">
        <v>0</v>
      </c>
      <c r="Y192" s="4">
        <v>0</v>
      </c>
      <c r="Z192" s="4" t="s">
        <v>527</v>
      </c>
      <c r="AA192" s="4" t="s">
        <v>528</v>
      </c>
    </row>
    <row r="193" ht="30" customHeight="1" spans="1:27" x14ac:dyDescent="0.25">
      <c r="A193" s="4" t="s">
        <v>146</v>
      </c>
      <c r="B193" s="4" t="s">
        <v>87</v>
      </c>
      <c r="C193" s="4">
        <v>18000</v>
      </c>
      <c r="D193" s="4" t="s">
        <v>79</v>
      </c>
      <c r="E193" s="4">
        <v>15</v>
      </c>
      <c r="F193" s="4">
        <v>1125</v>
      </c>
      <c r="G193" s="4">
        <v>65103</v>
      </c>
      <c r="H193" s="4">
        <v>32455</v>
      </c>
      <c r="I193" s="4">
        <v>61446</v>
      </c>
      <c r="J193" s="5">
        <v>0</v>
      </c>
      <c r="K193" s="6">
        <v>502.132592</v>
      </c>
      <c r="L193" s="6">
        <v>504.1687914</v>
      </c>
      <c r="M193" s="6">
        <v>517.21343602</v>
      </c>
      <c r="N193" s="6">
        <v>5483.533033</v>
      </c>
      <c r="O193" s="6">
        <v>5486.1507362</v>
      </c>
      <c r="P193" s="6">
        <v>5498.771277620001</v>
      </c>
      <c r="Q193" s="6">
        <v>20</v>
      </c>
      <c r="R193" s="6">
        <v>21</v>
      </c>
      <c r="S193" s="6">
        <v>21</v>
      </c>
      <c r="T193" s="6">
        <v>503.028840061616</v>
      </c>
      <c r="U193" s="6">
        <v>5484.4921577184</v>
      </c>
      <c r="V193" s="6">
        <v>5489.574225091273</v>
      </c>
      <c r="W193" s="4">
        <v>0</v>
      </c>
      <c r="X193" s="4">
        <v>0</v>
      </c>
      <c r="Y193" s="4">
        <v>0</v>
      </c>
      <c r="Z193" s="4" t="s">
        <v>529</v>
      </c>
      <c r="AA193" s="4" t="s">
        <v>530</v>
      </c>
    </row>
    <row r="194" ht="30" customHeight="1" spans="1:27" x14ac:dyDescent="0.25">
      <c r="A194" s="4" t="s">
        <v>146</v>
      </c>
      <c r="B194" s="4" t="s">
        <v>94</v>
      </c>
      <c r="C194" s="4">
        <v>1000</v>
      </c>
      <c r="D194" s="4" t="s">
        <v>79</v>
      </c>
      <c r="E194" s="4">
        <v>0</v>
      </c>
      <c r="F194" s="4">
        <v>63</v>
      </c>
      <c r="G194" s="4">
        <v>3636</v>
      </c>
      <c r="H194" s="4">
        <v>1802</v>
      </c>
      <c r="I194" s="4">
        <v>3431</v>
      </c>
      <c r="J194" s="5">
        <v>0</v>
      </c>
      <c r="K194" s="6">
        <v>502.713411</v>
      </c>
      <c r="L194" s="6">
        <v>503.973015</v>
      </c>
      <c r="M194" s="6">
        <v>505.530227</v>
      </c>
      <c r="N194" s="6">
        <v>5493.4029905</v>
      </c>
      <c r="O194" s="6">
        <v>5494.8306885</v>
      </c>
      <c r="P194" s="6">
        <v>5496.3706121</v>
      </c>
      <c r="Q194" s="6">
        <v>10</v>
      </c>
      <c r="R194" s="6">
        <v>10</v>
      </c>
      <c r="S194" s="6">
        <v>11</v>
      </c>
      <c r="T194" s="6">
        <v>502.7981858160065</v>
      </c>
      <c r="U194" s="6">
        <v>5493.546393601237</v>
      </c>
      <c r="V194" s="6">
        <v>5502.193797294293</v>
      </c>
      <c r="W194" s="4">
        <v>0</v>
      </c>
      <c r="X194" s="4">
        <v>0</v>
      </c>
      <c r="Y194" s="4">
        <v>0</v>
      </c>
      <c r="Z194" s="4" t="s">
        <v>531</v>
      </c>
      <c r="AA194" s="4" t="s">
        <v>532</v>
      </c>
    </row>
    <row r="195" ht="30" customHeight="1" spans="1:27" x14ac:dyDescent="0.25">
      <c r="A195" s="4" t="s">
        <v>146</v>
      </c>
      <c r="B195" s="4" t="s">
        <v>94</v>
      </c>
      <c r="C195" s="4">
        <v>1000</v>
      </c>
      <c r="D195" s="4" t="s">
        <v>79</v>
      </c>
      <c r="E195" s="4">
        <v>1</v>
      </c>
      <c r="F195" s="4">
        <v>63</v>
      </c>
      <c r="G195" s="4">
        <v>3636</v>
      </c>
      <c r="H195" s="4">
        <v>1810</v>
      </c>
      <c r="I195" s="4">
        <v>3431</v>
      </c>
      <c r="J195" s="5">
        <v>0</v>
      </c>
      <c r="K195" s="6">
        <v>502.6975645</v>
      </c>
      <c r="L195" s="6">
        <v>503.90003249999995</v>
      </c>
      <c r="M195" s="6">
        <v>505.43668155</v>
      </c>
      <c r="N195" s="6">
        <v>5493.4145045000005</v>
      </c>
      <c r="O195" s="6">
        <v>5494.860949</v>
      </c>
      <c r="P195" s="6">
        <v>5496.4406305</v>
      </c>
      <c r="Q195" s="6">
        <v>10</v>
      </c>
      <c r="R195" s="6">
        <v>10</v>
      </c>
      <c r="S195" s="6">
        <v>11</v>
      </c>
      <c r="T195" s="6">
        <v>502.76577559708437</v>
      </c>
      <c r="U195" s="6">
        <v>5493.555623633405</v>
      </c>
      <c r="V195" s="6">
        <v>5502.1797076991015</v>
      </c>
      <c r="W195" s="4">
        <v>0</v>
      </c>
      <c r="X195" s="4">
        <v>0</v>
      </c>
      <c r="Y195" s="4">
        <v>0</v>
      </c>
      <c r="Z195" s="4" t="s">
        <v>533</v>
      </c>
      <c r="AA195" s="4" t="s">
        <v>534</v>
      </c>
    </row>
    <row r="196" ht="30" customHeight="1" spans="1:27" x14ac:dyDescent="0.25">
      <c r="A196" s="4" t="s">
        <v>146</v>
      </c>
      <c r="B196" s="4" t="s">
        <v>94</v>
      </c>
      <c r="C196" s="4">
        <v>1000</v>
      </c>
      <c r="D196" s="4" t="s">
        <v>79</v>
      </c>
      <c r="E196" s="4">
        <v>2</v>
      </c>
      <c r="F196" s="4">
        <v>63</v>
      </c>
      <c r="G196" s="4">
        <v>3637</v>
      </c>
      <c r="H196" s="4">
        <v>1776</v>
      </c>
      <c r="I196" s="4">
        <v>3432</v>
      </c>
      <c r="J196" s="5">
        <v>0</v>
      </c>
      <c r="K196" s="6">
        <v>502.725082</v>
      </c>
      <c r="L196" s="6">
        <v>503.9106888</v>
      </c>
      <c r="M196" s="6">
        <v>505.41466832000003</v>
      </c>
      <c r="N196" s="6">
        <v>5493.454692</v>
      </c>
      <c r="O196" s="6">
        <v>5494.813336</v>
      </c>
      <c r="P196" s="6">
        <v>5496.3422790800005</v>
      </c>
      <c r="Q196" s="6">
        <v>10</v>
      </c>
      <c r="R196" s="6">
        <v>10</v>
      </c>
      <c r="S196" s="6">
        <v>11</v>
      </c>
      <c r="T196" s="6">
        <v>502.7752500992576</v>
      </c>
      <c r="U196" s="6">
        <v>5493.583409321693</v>
      </c>
      <c r="V196" s="6">
        <v>5502.304446849608</v>
      </c>
      <c r="W196" s="4">
        <v>0</v>
      </c>
      <c r="X196" s="4">
        <v>0</v>
      </c>
      <c r="Y196" s="4">
        <v>0</v>
      </c>
      <c r="Z196" s="4" t="s">
        <v>535</v>
      </c>
      <c r="AA196" s="4" t="s">
        <v>536</v>
      </c>
    </row>
    <row r="197" ht="30" customHeight="1" spans="1:27" x14ac:dyDescent="0.25">
      <c r="A197" s="4" t="s">
        <v>146</v>
      </c>
      <c r="B197" s="4" t="s">
        <v>94</v>
      </c>
      <c r="C197" s="4">
        <v>1000</v>
      </c>
      <c r="D197" s="4" t="s">
        <v>79</v>
      </c>
      <c r="E197" s="4">
        <v>3</v>
      </c>
      <c r="F197" s="4">
        <v>63</v>
      </c>
      <c r="G197" s="4">
        <v>3636</v>
      </c>
      <c r="H197" s="4">
        <v>1832</v>
      </c>
      <c r="I197" s="4">
        <v>3431</v>
      </c>
      <c r="J197" s="5">
        <v>0</v>
      </c>
      <c r="K197" s="6">
        <v>502.71250699999996</v>
      </c>
      <c r="L197" s="6">
        <v>503.9232755</v>
      </c>
      <c r="M197" s="6">
        <v>505.6060794</v>
      </c>
      <c r="N197" s="6">
        <v>5493.3473895</v>
      </c>
      <c r="O197" s="6">
        <v>5494.7854465</v>
      </c>
      <c r="P197" s="6">
        <v>5496.39795435</v>
      </c>
      <c r="Q197" s="6">
        <v>10</v>
      </c>
      <c r="R197" s="6">
        <v>10</v>
      </c>
      <c r="S197" s="6">
        <v>11</v>
      </c>
      <c r="T197" s="6">
        <v>502.7824811980182</v>
      </c>
      <c r="U197" s="6">
        <v>5493.516362984606</v>
      </c>
      <c r="V197" s="6">
        <v>5502.231382245876</v>
      </c>
      <c r="W197" s="4">
        <v>0</v>
      </c>
      <c r="X197" s="4">
        <v>0</v>
      </c>
      <c r="Y197" s="4">
        <v>0</v>
      </c>
      <c r="Z197" s="4" t="s">
        <v>537</v>
      </c>
      <c r="AA197" s="4" t="s">
        <v>538</v>
      </c>
    </row>
    <row r="198" ht="30" customHeight="1" spans="1:27" x14ac:dyDescent="0.25">
      <c r="A198" s="4" t="s">
        <v>146</v>
      </c>
      <c r="B198" s="4" t="s">
        <v>94</v>
      </c>
      <c r="C198" s="4">
        <v>1000</v>
      </c>
      <c r="D198" s="4" t="s">
        <v>79</v>
      </c>
      <c r="E198" s="4">
        <v>4</v>
      </c>
      <c r="F198" s="4">
        <v>63</v>
      </c>
      <c r="G198" s="4">
        <v>3637</v>
      </c>
      <c r="H198" s="4">
        <v>1804</v>
      </c>
      <c r="I198" s="4">
        <v>3432</v>
      </c>
      <c r="J198" s="5">
        <v>0</v>
      </c>
      <c r="K198" s="6">
        <v>502.721749</v>
      </c>
      <c r="L198" s="6">
        <v>503.9289232</v>
      </c>
      <c r="M198" s="6">
        <v>505.50743516</v>
      </c>
      <c r="N198" s="6">
        <v>5493.390741</v>
      </c>
      <c r="O198" s="6">
        <v>5494.85846</v>
      </c>
      <c r="P198" s="6">
        <v>5496.24034012</v>
      </c>
      <c r="Q198" s="6">
        <v>10</v>
      </c>
      <c r="R198" s="6">
        <v>10</v>
      </c>
      <c r="S198" s="6">
        <v>11</v>
      </c>
      <c r="T198" s="6">
        <v>502.8039184951893</v>
      </c>
      <c r="U198" s="6">
        <v>5493.577453436904</v>
      </c>
      <c r="V198" s="6">
        <v>5502.204976732474</v>
      </c>
      <c r="W198" s="4">
        <v>0</v>
      </c>
      <c r="X198" s="4">
        <v>0</v>
      </c>
      <c r="Y198" s="4">
        <v>0</v>
      </c>
      <c r="Z198" s="4" t="s">
        <v>539</v>
      </c>
      <c r="AA198" s="4" t="s">
        <v>540</v>
      </c>
    </row>
    <row r="199" ht="30" customHeight="1" spans="1:27" x14ac:dyDescent="0.25">
      <c r="A199" s="4" t="s">
        <v>146</v>
      </c>
      <c r="B199" s="4" t="s">
        <v>94</v>
      </c>
      <c r="C199" s="4">
        <v>1000</v>
      </c>
      <c r="D199" s="4" t="s">
        <v>79</v>
      </c>
      <c r="E199" s="4">
        <v>5</v>
      </c>
      <c r="F199" s="4">
        <v>63</v>
      </c>
      <c r="G199" s="4">
        <v>3636</v>
      </c>
      <c r="H199" s="4">
        <v>1789</v>
      </c>
      <c r="I199" s="4">
        <v>3431</v>
      </c>
      <c r="J199" s="5">
        <v>0</v>
      </c>
      <c r="K199" s="6">
        <v>502.722247</v>
      </c>
      <c r="L199" s="6">
        <v>503.9479765</v>
      </c>
      <c r="M199" s="6">
        <v>505.3189075</v>
      </c>
      <c r="N199" s="6">
        <v>5493.415531000001</v>
      </c>
      <c r="O199" s="6">
        <v>5494.814156</v>
      </c>
      <c r="P199" s="6">
        <v>5496.4074467</v>
      </c>
      <c r="Q199" s="6">
        <v>10</v>
      </c>
      <c r="R199" s="6">
        <v>10</v>
      </c>
      <c r="S199" s="6">
        <v>11</v>
      </c>
      <c r="T199" s="6">
        <v>502.77974769086796</v>
      </c>
      <c r="U199" s="6">
        <v>5493.563270943348</v>
      </c>
      <c r="V199" s="6">
        <v>5502.154553433707</v>
      </c>
      <c r="W199" s="4">
        <v>0</v>
      </c>
      <c r="X199" s="4">
        <v>0</v>
      </c>
      <c r="Y199" s="4">
        <v>0</v>
      </c>
      <c r="Z199" s="4" t="s">
        <v>541</v>
      </c>
      <c r="AA199" s="4" t="s">
        <v>542</v>
      </c>
    </row>
    <row r="200" ht="30" customHeight="1" spans="1:27" x14ac:dyDescent="0.25">
      <c r="A200" s="4" t="s">
        <v>146</v>
      </c>
      <c r="B200" s="4" t="s">
        <v>94</v>
      </c>
      <c r="C200" s="4">
        <v>1000</v>
      </c>
      <c r="D200" s="4" t="s">
        <v>79</v>
      </c>
      <c r="E200" s="4">
        <v>6</v>
      </c>
      <c r="F200" s="4">
        <v>63</v>
      </c>
      <c r="G200" s="4">
        <v>3635</v>
      </c>
      <c r="H200" s="4">
        <v>1867</v>
      </c>
      <c r="I200" s="4">
        <v>3430</v>
      </c>
      <c r="J200" s="5">
        <v>0</v>
      </c>
      <c r="K200" s="6">
        <v>502.728035</v>
      </c>
      <c r="L200" s="6">
        <v>503.9658286</v>
      </c>
      <c r="M200" s="6">
        <v>505.59894202</v>
      </c>
      <c r="N200" s="6">
        <v>5493.41628</v>
      </c>
      <c r="O200" s="6">
        <v>5494.8337862</v>
      </c>
      <c r="P200" s="6">
        <v>5496.60296026</v>
      </c>
      <c r="Q200" s="6">
        <v>10</v>
      </c>
      <c r="R200" s="6">
        <v>10</v>
      </c>
      <c r="S200" s="6">
        <v>11</v>
      </c>
      <c r="T200" s="6">
        <v>502.79072790261495</v>
      </c>
      <c r="U200" s="6">
        <v>5493.570574096294</v>
      </c>
      <c r="V200" s="6">
        <v>5502.552349206332</v>
      </c>
      <c r="W200" s="4">
        <v>0</v>
      </c>
      <c r="X200" s="4">
        <v>0</v>
      </c>
      <c r="Y200" s="4">
        <v>0</v>
      </c>
      <c r="Z200" s="4" t="s">
        <v>543</v>
      </c>
      <c r="AA200" s="4" t="s">
        <v>544</v>
      </c>
    </row>
    <row r="201" ht="30" customHeight="1" spans="1:27" x14ac:dyDescent="0.25">
      <c r="A201" s="4" t="s">
        <v>146</v>
      </c>
      <c r="B201" s="4" t="s">
        <v>94</v>
      </c>
      <c r="C201" s="4">
        <v>1000</v>
      </c>
      <c r="D201" s="4" t="s">
        <v>79</v>
      </c>
      <c r="E201" s="4">
        <v>7</v>
      </c>
      <c r="F201" s="4">
        <v>63</v>
      </c>
      <c r="G201" s="4">
        <v>3637</v>
      </c>
      <c r="H201" s="4">
        <v>1795</v>
      </c>
      <c r="I201" s="4">
        <v>3432</v>
      </c>
      <c r="J201" s="5">
        <v>0</v>
      </c>
      <c r="K201" s="6">
        <v>502.705542</v>
      </c>
      <c r="L201" s="6">
        <v>503.973586</v>
      </c>
      <c r="M201" s="6">
        <v>505.43892404</v>
      </c>
      <c r="N201" s="6">
        <v>5493.416618</v>
      </c>
      <c r="O201" s="6">
        <v>5494.7660926</v>
      </c>
      <c r="P201" s="6">
        <v>5496.37840612</v>
      </c>
      <c r="Q201" s="6">
        <v>10</v>
      </c>
      <c r="R201" s="6">
        <v>10</v>
      </c>
      <c r="S201" s="6">
        <v>11</v>
      </c>
      <c r="T201" s="6">
        <v>502.77256717761884</v>
      </c>
      <c r="U201" s="6">
        <v>5493.542619526523</v>
      </c>
      <c r="V201" s="6">
        <v>5502.299888092388</v>
      </c>
      <c r="W201" s="4">
        <v>0</v>
      </c>
      <c r="X201" s="4">
        <v>0</v>
      </c>
      <c r="Y201" s="4">
        <v>0</v>
      </c>
      <c r="Z201" s="4" t="s">
        <v>545</v>
      </c>
      <c r="AA201" s="4" t="s">
        <v>546</v>
      </c>
    </row>
    <row r="202" ht="30" customHeight="1" spans="1:27" x14ac:dyDescent="0.25">
      <c r="A202" s="4" t="s">
        <v>146</v>
      </c>
      <c r="B202" s="4" t="s">
        <v>94</v>
      </c>
      <c r="C202" s="4">
        <v>1000</v>
      </c>
      <c r="D202" s="4" t="s">
        <v>79</v>
      </c>
      <c r="E202" s="4">
        <v>8</v>
      </c>
      <c r="F202" s="4">
        <v>62</v>
      </c>
      <c r="G202" s="4">
        <v>3579</v>
      </c>
      <c r="H202" s="4">
        <v>1729</v>
      </c>
      <c r="I202" s="4">
        <v>3378</v>
      </c>
      <c r="J202" s="5">
        <v>0</v>
      </c>
      <c r="K202" s="6">
        <v>502.728922</v>
      </c>
      <c r="L202" s="6">
        <v>503.9839708</v>
      </c>
      <c r="M202" s="6">
        <v>505.5974404</v>
      </c>
      <c r="N202" s="6">
        <v>5493.432025</v>
      </c>
      <c r="O202" s="6">
        <v>5494.8231654</v>
      </c>
      <c r="P202" s="6">
        <v>5496.351547120001</v>
      </c>
      <c r="Q202" s="6">
        <v>10</v>
      </c>
      <c r="R202" s="6">
        <v>10</v>
      </c>
      <c r="S202" s="6">
        <v>11</v>
      </c>
      <c r="T202" s="6">
        <v>502.8031694970677</v>
      </c>
      <c r="U202" s="6">
        <v>5493.564803075702</v>
      </c>
      <c r="V202" s="6">
        <v>5502.060736671956</v>
      </c>
      <c r="W202" s="4">
        <v>0</v>
      </c>
      <c r="X202" s="4">
        <v>0</v>
      </c>
      <c r="Y202" s="4">
        <v>0</v>
      </c>
      <c r="Z202" s="4" t="s">
        <v>547</v>
      </c>
      <c r="AA202" s="4" t="s">
        <v>548</v>
      </c>
    </row>
    <row r="203" ht="30" customHeight="1" spans="1:27" x14ac:dyDescent="0.25">
      <c r="A203" s="4" t="s">
        <v>146</v>
      </c>
      <c r="B203" s="4" t="s">
        <v>94</v>
      </c>
      <c r="C203" s="4">
        <v>1000</v>
      </c>
      <c r="D203" s="4" t="s">
        <v>79</v>
      </c>
      <c r="E203" s="4">
        <v>9</v>
      </c>
      <c r="F203" s="4">
        <v>62</v>
      </c>
      <c r="G203" s="4">
        <v>3579</v>
      </c>
      <c r="H203" s="4">
        <v>1802</v>
      </c>
      <c r="I203" s="4">
        <v>3377</v>
      </c>
      <c r="J203" s="5">
        <v>0</v>
      </c>
      <c r="K203" s="6">
        <v>502.71914</v>
      </c>
      <c r="L203" s="6">
        <v>503.905918</v>
      </c>
      <c r="M203" s="6">
        <v>505.25221254</v>
      </c>
      <c r="N203" s="6">
        <v>5493.429734</v>
      </c>
      <c r="O203" s="6">
        <v>5494.8466938</v>
      </c>
      <c r="P203" s="6">
        <v>5496.42181158</v>
      </c>
      <c r="Q203" s="6">
        <v>10</v>
      </c>
      <c r="R203" s="6">
        <v>10</v>
      </c>
      <c r="S203" s="6">
        <v>11</v>
      </c>
      <c r="T203" s="6">
        <v>502.7797761656893</v>
      </c>
      <c r="U203" s="6">
        <v>5493.599143552106</v>
      </c>
      <c r="V203" s="6">
        <v>5502.356769723935</v>
      </c>
      <c r="W203" s="4">
        <v>0</v>
      </c>
      <c r="X203" s="4">
        <v>0</v>
      </c>
      <c r="Y203" s="4">
        <v>0</v>
      </c>
      <c r="Z203" s="4" t="s">
        <v>549</v>
      </c>
      <c r="AA203" s="4" t="s">
        <v>550</v>
      </c>
    </row>
    <row r="204" ht="30" customHeight="1" spans="1:27" x14ac:dyDescent="0.25">
      <c r="A204" s="4" t="s">
        <v>146</v>
      </c>
      <c r="B204" s="4" t="s">
        <v>94</v>
      </c>
      <c r="C204" s="4">
        <v>1000</v>
      </c>
      <c r="D204" s="4" t="s">
        <v>79</v>
      </c>
      <c r="E204" s="4">
        <v>10</v>
      </c>
      <c r="F204" s="4">
        <v>62</v>
      </c>
      <c r="G204" s="4">
        <v>3579</v>
      </c>
      <c r="H204" s="4">
        <v>1784</v>
      </c>
      <c r="I204" s="4">
        <v>3377</v>
      </c>
      <c r="J204" s="5">
        <v>0</v>
      </c>
      <c r="K204" s="6">
        <v>502.736385</v>
      </c>
      <c r="L204" s="6">
        <v>503.9720266</v>
      </c>
      <c r="M204" s="6">
        <v>505.4750697</v>
      </c>
      <c r="N204" s="6">
        <v>5493.374802</v>
      </c>
      <c r="O204" s="6">
        <v>5494.8220200000005</v>
      </c>
      <c r="P204" s="6">
        <v>5496.47703058</v>
      </c>
      <c r="Q204" s="6">
        <v>10</v>
      </c>
      <c r="R204" s="6">
        <v>10</v>
      </c>
      <c r="S204" s="6">
        <v>11</v>
      </c>
      <c r="T204" s="6">
        <v>502.795731944396</v>
      </c>
      <c r="U204" s="6">
        <v>5493.55254934061</v>
      </c>
      <c r="V204" s="6">
        <v>5502.146500711089</v>
      </c>
      <c r="W204" s="4">
        <v>0</v>
      </c>
      <c r="X204" s="4">
        <v>0</v>
      </c>
      <c r="Y204" s="4">
        <v>0</v>
      </c>
      <c r="Z204" s="4" t="s">
        <v>551</v>
      </c>
      <c r="AA204" s="4" t="s">
        <v>552</v>
      </c>
    </row>
    <row r="205" ht="30" customHeight="1" spans="1:27" x14ac:dyDescent="0.25">
      <c r="A205" s="4" t="s">
        <v>146</v>
      </c>
      <c r="B205" s="4" t="s">
        <v>94</v>
      </c>
      <c r="C205" s="4">
        <v>1000</v>
      </c>
      <c r="D205" s="4" t="s">
        <v>79</v>
      </c>
      <c r="E205" s="4">
        <v>11</v>
      </c>
      <c r="F205" s="4">
        <v>62</v>
      </c>
      <c r="G205" s="4">
        <v>3579</v>
      </c>
      <c r="H205" s="4">
        <v>1752</v>
      </c>
      <c r="I205" s="4">
        <v>3377</v>
      </c>
      <c r="J205" s="5">
        <v>0</v>
      </c>
      <c r="K205" s="6">
        <v>502.721527</v>
      </c>
      <c r="L205" s="6">
        <v>503.9466184</v>
      </c>
      <c r="M205" s="6">
        <v>505.50076818</v>
      </c>
      <c r="N205" s="6">
        <v>5493.42458</v>
      </c>
      <c r="O205" s="6">
        <v>5494.8977072</v>
      </c>
      <c r="P205" s="6">
        <v>5496.44652986</v>
      </c>
      <c r="Q205" s="6">
        <v>10</v>
      </c>
      <c r="R205" s="6">
        <v>10</v>
      </c>
      <c r="S205" s="6">
        <v>11</v>
      </c>
      <c r="T205" s="6">
        <v>502.77005792958926</v>
      </c>
      <c r="U205" s="6">
        <v>5493.594599099183</v>
      </c>
      <c r="V205" s="6">
        <v>5502.171081513852</v>
      </c>
      <c r="W205" s="4">
        <v>0</v>
      </c>
      <c r="X205" s="4">
        <v>0</v>
      </c>
      <c r="Y205" s="4">
        <v>0</v>
      </c>
      <c r="Z205" s="4" t="s">
        <v>553</v>
      </c>
      <c r="AA205" s="4" t="s">
        <v>554</v>
      </c>
    </row>
    <row r="206" ht="30" customHeight="1" spans="1:27" x14ac:dyDescent="0.25">
      <c r="A206" s="4" t="s">
        <v>146</v>
      </c>
      <c r="B206" s="4" t="s">
        <v>94</v>
      </c>
      <c r="C206" s="4">
        <v>1000</v>
      </c>
      <c r="D206" s="4" t="s">
        <v>79</v>
      </c>
      <c r="E206" s="4">
        <v>12</v>
      </c>
      <c r="F206" s="4">
        <v>62</v>
      </c>
      <c r="G206" s="4">
        <v>3578</v>
      </c>
      <c r="H206" s="4">
        <v>1760</v>
      </c>
      <c r="I206" s="4">
        <v>3376</v>
      </c>
      <c r="J206" s="5">
        <v>0</v>
      </c>
      <c r="K206" s="6">
        <v>502.6925655</v>
      </c>
      <c r="L206" s="6">
        <v>503.91889299999997</v>
      </c>
      <c r="M206" s="6">
        <v>505.25923423</v>
      </c>
      <c r="N206" s="6">
        <v>5493.438819</v>
      </c>
      <c r="O206" s="6">
        <v>5494.8193174</v>
      </c>
      <c r="P206" s="6">
        <v>5496.48899795</v>
      </c>
      <c r="Q206" s="6">
        <v>10</v>
      </c>
      <c r="R206" s="6">
        <v>10</v>
      </c>
      <c r="S206" s="6">
        <v>11</v>
      </c>
      <c r="T206" s="6">
        <v>502.7512076134716</v>
      </c>
      <c r="U206" s="6">
        <v>5493.580652916717</v>
      </c>
      <c r="V206" s="6">
        <v>5502.203296595014</v>
      </c>
      <c r="W206" s="4">
        <v>0</v>
      </c>
      <c r="X206" s="4">
        <v>0</v>
      </c>
      <c r="Y206" s="4">
        <v>0</v>
      </c>
      <c r="Z206" s="4" t="s">
        <v>555</v>
      </c>
      <c r="AA206" s="4" t="s">
        <v>556</v>
      </c>
    </row>
    <row r="207" ht="30" customHeight="1" spans="1:27" x14ac:dyDescent="0.25">
      <c r="A207" s="4" t="s">
        <v>146</v>
      </c>
      <c r="B207" s="4" t="s">
        <v>94</v>
      </c>
      <c r="C207" s="4">
        <v>1000</v>
      </c>
      <c r="D207" s="4" t="s">
        <v>79</v>
      </c>
      <c r="E207" s="4">
        <v>13</v>
      </c>
      <c r="F207" s="4">
        <v>62</v>
      </c>
      <c r="G207" s="4">
        <v>3580</v>
      </c>
      <c r="H207" s="4">
        <v>1724</v>
      </c>
      <c r="I207" s="4">
        <v>3378</v>
      </c>
      <c r="J207" s="5">
        <v>0</v>
      </c>
      <c r="K207" s="6">
        <v>502.67787</v>
      </c>
      <c r="L207" s="6">
        <v>503.9410489</v>
      </c>
      <c r="M207" s="6">
        <v>505.38256802</v>
      </c>
      <c r="N207" s="6">
        <v>5493.3679295</v>
      </c>
      <c r="O207" s="6">
        <v>5494.8339387999995</v>
      </c>
      <c r="P207" s="6">
        <v>5496.49951794</v>
      </c>
      <c r="Q207" s="6">
        <v>10</v>
      </c>
      <c r="R207" s="6">
        <v>10</v>
      </c>
      <c r="S207" s="6">
        <v>11</v>
      </c>
      <c r="T207" s="6">
        <v>502.7530655930176</v>
      </c>
      <c r="U207" s="6">
        <v>5493.572529754756</v>
      </c>
      <c r="V207" s="6">
        <v>5501.934191299442</v>
      </c>
      <c r="W207" s="4">
        <v>0</v>
      </c>
      <c r="X207" s="4">
        <v>0</v>
      </c>
      <c r="Y207" s="4">
        <v>0</v>
      </c>
      <c r="Z207" s="4" t="s">
        <v>557</v>
      </c>
      <c r="AA207" s="4" t="s">
        <v>558</v>
      </c>
    </row>
    <row r="208" ht="30" customHeight="1" spans="1:27" x14ac:dyDescent="0.25">
      <c r="A208" s="4" t="s">
        <v>146</v>
      </c>
      <c r="B208" s="4" t="s">
        <v>94</v>
      </c>
      <c r="C208" s="4">
        <v>1000</v>
      </c>
      <c r="D208" s="4" t="s">
        <v>79</v>
      </c>
      <c r="E208" s="4">
        <v>14</v>
      </c>
      <c r="F208" s="4">
        <v>62</v>
      </c>
      <c r="G208" s="4">
        <v>3579</v>
      </c>
      <c r="H208" s="4">
        <v>1782</v>
      </c>
      <c r="I208" s="4">
        <v>3377</v>
      </c>
      <c r="J208" s="5">
        <v>0</v>
      </c>
      <c r="K208" s="6">
        <v>502.698387</v>
      </c>
      <c r="L208" s="6">
        <v>503.9783976</v>
      </c>
      <c r="M208" s="6">
        <v>505.44373</v>
      </c>
      <c r="N208" s="6">
        <v>5493.421657</v>
      </c>
      <c r="O208" s="6">
        <v>5494.8579658</v>
      </c>
      <c r="P208" s="6">
        <v>5496.45769792</v>
      </c>
      <c r="Q208" s="6">
        <v>10</v>
      </c>
      <c r="R208" s="6">
        <v>10</v>
      </c>
      <c r="S208" s="6">
        <v>11</v>
      </c>
      <c r="T208" s="6">
        <v>502.782157777032</v>
      </c>
      <c r="U208" s="6">
        <v>5493.583113999438</v>
      </c>
      <c r="V208" s="6">
        <v>5502.261993428881</v>
      </c>
      <c r="W208" s="4">
        <v>0</v>
      </c>
      <c r="X208" s="4">
        <v>0</v>
      </c>
      <c r="Y208" s="4">
        <v>0</v>
      </c>
      <c r="Z208" s="4" t="s">
        <v>559</v>
      </c>
      <c r="AA208" s="4" t="s">
        <v>560</v>
      </c>
    </row>
    <row r="209" ht="30" customHeight="1" spans="1:27" x14ac:dyDescent="0.25">
      <c r="A209" s="4" t="s">
        <v>146</v>
      </c>
      <c r="B209" s="4" t="s">
        <v>94</v>
      </c>
      <c r="C209" s="4">
        <v>1000</v>
      </c>
      <c r="D209" s="4" t="s">
        <v>79</v>
      </c>
      <c r="E209" s="4">
        <v>15</v>
      </c>
      <c r="F209" s="4">
        <v>62</v>
      </c>
      <c r="G209" s="4">
        <v>3579</v>
      </c>
      <c r="H209" s="4">
        <v>1803</v>
      </c>
      <c r="I209" s="4">
        <v>3377</v>
      </c>
      <c r="J209" s="5">
        <v>0</v>
      </c>
      <c r="K209" s="6">
        <v>502.693292</v>
      </c>
      <c r="L209" s="6">
        <v>503.8865446</v>
      </c>
      <c r="M209" s="6">
        <v>505.47717258</v>
      </c>
      <c r="N209" s="6">
        <v>5493.379307</v>
      </c>
      <c r="O209" s="6">
        <v>5494.8025082</v>
      </c>
      <c r="P209" s="6">
        <v>5496.51694928</v>
      </c>
      <c r="Q209" s="6">
        <v>10</v>
      </c>
      <c r="R209" s="6">
        <v>10</v>
      </c>
      <c r="S209" s="6">
        <v>11</v>
      </c>
      <c r="T209" s="6">
        <v>502.7604731374686</v>
      </c>
      <c r="U209" s="6">
        <v>5493.536305709979</v>
      </c>
      <c r="V209" s="6">
        <v>5502.248261143329</v>
      </c>
      <c r="W209" s="4">
        <v>0</v>
      </c>
      <c r="X209" s="4">
        <v>0</v>
      </c>
      <c r="Y209" s="4">
        <v>0</v>
      </c>
      <c r="Z209" s="4" t="s">
        <v>561</v>
      </c>
      <c r="AA209" s="4" t="s">
        <v>562</v>
      </c>
    </row>
    <row r="210" ht="30" customHeight="1" spans="1:27" x14ac:dyDescent="0.25">
      <c r="A210" s="4" t="s">
        <v>146</v>
      </c>
      <c r="B210" s="4" t="s">
        <v>94</v>
      </c>
      <c r="C210" s="4">
        <v>2000</v>
      </c>
      <c r="D210" s="4" t="s">
        <v>79</v>
      </c>
      <c r="E210" s="4">
        <v>0</v>
      </c>
      <c r="F210" s="4">
        <v>125</v>
      </c>
      <c r="G210" s="4">
        <v>7217</v>
      </c>
      <c r="H210" s="4">
        <v>3646</v>
      </c>
      <c r="I210" s="4">
        <v>6811</v>
      </c>
      <c r="J210" s="5">
        <v>0</v>
      </c>
      <c r="K210" s="6">
        <v>502.017845</v>
      </c>
      <c r="L210" s="6">
        <v>503.0349292</v>
      </c>
      <c r="M210" s="6">
        <v>504.05448916</v>
      </c>
      <c r="N210" s="6">
        <v>5493.112319</v>
      </c>
      <c r="O210" s="6">
        <v>5494.1660747999995</v>
      </c>
      <c r="P210" s="6">
        <v>5495.32977724</v>
      </c>
      <c r="Q210" s="6">
        <v>10</v>
      </c>
      <c r="R210" s="6">
        <v>11</v>
      </c>
      <c r="S210" s="6">
        <v>11</v>
      </c>
      <c r="T210" s="6">
        <v>502.24110437162255</v>
      </c>
      <c r="U210" s="6">
        <v>5493.364956099753</v>
      </c>
      <c r="V210" s="6">
        <v>5502.617406587508</v>
      </c>
      <c r="W210" s="4">
        <v>0</v>
      </c>
      <c r="X210" s="4">
        <v>0</v>
      </c>
      <c r="Y210" s="4">
        <v>0</v>
      </c>
      <c r="Z210" s="4" t="s">
        <v>563</v>
      </c>
      <c r="AA210" s="4" t="s">
        <v>564</v>
      </c>
    </row>
    <row r="211" ht="30" customHeight="1" spans="1:27" x14ac:dyDescent="0.25">
      <c r="A211" s="4" t="s">
        <v>146</v>
      </c>
      <c r="B211" s="4" t="s">
        <v>94</v>
      </c>
      <c r="C211" s="4">
        <v>2000</v>
      </c>
      <c r="D211" s="4" t="s">
        <v>79</v>
      </c>
      <c r="E211" s="4">
        <v>1</v>
      </c>
      <c r="F211" s="4">
        <v>125</v>
      </c>
      <c r="G211" s="4">
        <v>7217</v>
      </c>
      <c r="H211" s="4">
        <v>3572</v>
      </c>
      <c r="I211" s="4">
        <v>6810</v>
      </c>
      <c r="J211" s="5">
        <v>0</v>
      </c>
      <c r="K211" s="6">
        <v>502.035489</v>
      </c>
      <c r="L211" s="6">
        <v>503.0368616</v>
      </c>
      <c r="M211" s="6">
        <v>504.09439284</v>
      </c>
      <c r="N211" s="6">
        <v>5493.139708</v>
      </c>
      <c r="O211" s="6">
        <v>5494.1806756000005</v>
      </c>
      <c r="P211" s="6">
        <v>5495.37683776</v>
      </c>
      <c r="Q211" s="6">
        <v>10</v>
      </c>
      <c r="R211" s="6">
        <v>11</v>
      </c>
      <c r="S211" s="6">
        <v>11</v>
      </c>
      <c r="T211" s="6">
        <v>502.1634395935993</v>
      </c>
      <c r="U211" s="6">
        <v>5493.292301087427</v>
      </c>
      <c r="V211" s="6">
        <v>5502.408242480506</v>
      </c>
      <c r="W211" s="4">
        <v>0</v>
      </c>
      <c r="X211" s="4">
        <v>0</v>
      </c>
      <c r="Y211" s="4">
        <v>0</v>
      </c>
      <c r="Z211" s="4" t="s">
        <v>565</v>
      </c>
      <c r="AA211" s="4" t="s">
        <v>566</v>
      </c>
    </row>
    <row r="212" ht="30" customHeight="1" spans="1:27" x14ac:dyDescent="0.25">
      <c r="A212" s="4" t="s">
        <v>146</v>
      </c>
      <c r="B212" s="4" t="s">
        <v>94</v>
      </c>
      <c r="C212" s="4">
        <v>2000</v>
      </c>
      <c r="D212" s="4" t="s">
        <v>79</v>
      </c>
      <c r="E212" s="4">
        <v>2</v>
      </c>
      <c r="F212" s="4">
        <v>125</v>
      </c>
      <c r="G212" s="4">
        <v>7216</v>
      </c>
      <c r="H212" s="4">
        <v>3579</v>
      </c>
      <c r="I212" s="4">
        <v>6810</v>
      </c>
      <c r="J212" s="5">
        <v>0</v>
      </c>
      <c r="K212" s="6">
        <v>502.0311635</v>
      </c>
      <c r="L212" s="6">
        <v>503.062158</v>
      </c>
      <c r="M212" s="6">
        <v>504.0711879</v>
      </c>
      <c r="N212" s="6">
        <v>5493.1573925</v>
      </c>
      <c r="O212" s="6">
        <v>5494.2039355</v>
      </c>
      <c r="P212" s="6">
        <v>5495.466513900001</v>
      </c>
      <c r="Q212" s="6">
        <v>10</v>
      </c>
      <c r="R212" s="6">
        <v>11</v>
      </c>
      <c r="S212" s="6">
        <v>11</v>
      </c>
      <c r="T212" s="6">
        <v>502.1123532342027</v>
      </c>
      <c r="U212" s="6">
        <v>5493.256940627799</v>
      </c>
      <c r="V212" s="6">
        <v>5502.437228193874</v>
      </c>
      <c r="W212" s="4">
        <v>0</v>
      </c>
      <c r="X212" s="4">
        <v>0</v>
      </c>
      <c r="Y212" s="4">
        <v>0</v>
      </c>
      <c r="Z212" s="4" t="s">
        <v>567</v>
      </c>
      <c r="AA212" s="4" t="s">
        <v>568</v>
      </c>
    </row>
    <row r="213" ht="30" customHeight="1" spans="1:27" x14ac:dyDescent="0.25">
      <c r="A213" s="4" t="s">
        <v>146</v>
      </c>
      <c r="B213" s="4" t="s">
        <v>94</v>
      </c>
      <c r="C213" s="4">
        <v>2000</v>
      </c>
      <c r="D213" s="4" t="s">
        <v>79</v>
      </c>
      <c r="E213" s="4">
        <v>3</v>
      </c>
      <c r="F213" s="4">
        <v>125</v>
      </c>
      <c r="G213" s="4">
        <v>7214</v>
      </c>
      <c r="H213" s="4">
        <v>3587</v>
      </c>
      <c r="I213" s="4">
        <v>6807</v>
      </c>
      <c r="J213" s="5">
        <v>0</v>
      </c>
      <c r="K213" s="6">
        <v>502.000905</v>
      </c>
      <c r="L213" s="6">
        <v>503.0522752</v>
      </c>
      <c r="M213" s="6">
        <v>503.95328218</v>
      </c>
      <c r="N213" s="6">
        <v>5493.1333385</v>
      </c>
      <c r="O213" s="6">
        <v>5494.1712049</v>
      </c>
      <c r="P213" s="6">
        <v>5495.261474360001</v>
      </c>
      <c r="Q213" s="6">
        <v>10</v>
      </c>
      <c r="R213" s="6">
        <v>11</v>
      </c>
      <c r="S213" s="6">
        <v>11</v>
      </c>
      <c r="T213" s="6">
        <v>502.1390158344886</v>
      </c>
      <c r="U213" s="6">
        <v>5493.271731266286</v>
      </c>
      <c r="V213" s="6">
        <v>5502.439406614357</v>
      </c>
      <c r="W213" s="4">
        <v>0</v>
      </c>
      <c r="X213" s="4">
        <v>0</v>
      </c>
      <c r="Y213" s="4">
        <v>0</v>
      </c>
      <c r="Z213" s="4" t="s">
        <v>569</v>
      </c>
      <c r="AA213" s="4" t="s">
        <v>570</v>
      </c>
    </row>
    <row r="214" ht="30" customHeight="1" spans="1:27" x14ac:dyDescent="0.25">
      <c r="A214" s="4" t="s">
        <v>146</v>
      </c>
      <c r="B214" s="4" t="s">
        <v>94</v>
      </c>
      <c r="C214" s="4">
        <v>2000</v>
      </c>
      <c r="D214" s="4" t="s">
        <v>79</v>
      </c>
      <c r="E214" s="4">
        <v>4</v>
      </c>
      <c r="F214" s="4">
        <v>125</v>
      </c>
      <c r="G214" s="4">
        <v>7215</v>
      </c>
      <c r="H214" s="4">
        <v>3618</v>
      </c>
      <c r="I214" s="4">
        <v>6808</v>
      </c>
      <c r="J214" s="5">
        <v>0</v>
      </c>
      <c r="K214" s="6">
        <v>502.024025</v>
      </c>
      <c r="L214" s="6">
        <v>503.0465382</v>
      </c>
      <c r="M214" s="6">
        <v>503.87168834</v>
      </c>
      <c r="N214" s="6">
        <v>5493.142049</v>
      </c>
      <c r="O214" s="6">
        <v>5494.193861199999</v>
      </c>
      <c r="P214" s="6">
        <v>5495.52127956</v>
      </c>
      <c r="Q214" s="6">
        <v>10</v>
      </c>
      <c r="R214" s="6">
        <v>11</v>
      </c>
      <c r="S214" s="6">
        <v>11</v>
      </c>
      <c r="T214" s="6">
        <v>502.10381538170304</v>
      </c>
      <c r="U214" s="6">
        <v>5493.248037712971</v>
      </c>
      <c r="V214" s="6">
        <v>5502.541689408873</v>
      </c>
      <c r="W214" s="4">
        <v>0</v>
      </c>
      <c r="X214" s="4">
        <v>0</v>
      </c>
      <c r="Y214" s="4">
        <v>0</v>
      </c>
      <c r="Z214" s="4" t="s">
        <v>571</v>
      </c>
      <c r="AA214" s="4" t="s">
        <v>572</v>
      </c>
    </row>
    <row r="215" ht="30" customHeight="1" spans="1:27" x14ac:dyDescent="0.25">
      <c r="A215" s="4" t="s">
        <v>146</v>
      </c>
      <c r="B215" s="4" t="s">
        <v>94</v>
      </c>
      <c r="C215" s="4">
        <v>2000</v>
      </c>
      <c r="D215" s="4" t="s">
        <v>79</v>
      </c>
      <c r="E215" s="4">
        <v>5</v>
      </c>
      <c r="F215" s="4">
        <v>125</v>
      </c>
      <c r="G215" s="4">
        <v>7216</v>
      </c>
      <c r="H215" s="4">
        <v>3633</v>
      </c>
      <c r="I215" s="4">
        <v>6809</v>
      </c>
      <c r="J215" s="5">
        <v>0</v>
      </c>
      <c r="K215" s="6">
        <v>502.0442615</v>
      </c>
      <c r="L215" s="6">
        <v>503.0464125</v>
      </c>
      <c r="M215" s="6">
        <v>504.1062539</v>
      </c>
      <c r="N215" s="6">
        <v>5493.158409</v>
      </c>
      <c r="O215" s="6">
        <v>5494.1915265</v>
      </c>
      <c r="P215" s="6">
        <v>5495.4677442</v>
      </c>
      <c r="Q215" s="6">
        <v>10</v>
      </c>
      <c r="R215" s="6">
        <v>11</v>
      </c>
      <c r="S215" s="6">
        <v>11</v>
      </c>
      <c r="T215" s="6">
        <v>502.128455865162</v>
      </c>
      <c r="U215" s="6">
        <v>5493.259634877075</v>
      </c>
      <c r="V215" s="6">
        <v>5502.507627031574</v>
      </c>
      <c r="W215" s="4">
        <v>0</v>
      </c>
      <c r="X215" s="4">
        <v>0</v>
      </c>
      <c r="Y215" s="4">
        <v>0</v>
      </c>
      <c r="Z215" s="4" t="s">
        <v>573</v>
      </c>
      <c r="AA215" s="4" t="s">
        <v>574</v>
      </c>
    </row>
    <row r="216" ht="30" customHeight="1" spans="1:27" x14ac:dyDescent="0.25">
      <c r="A216" s="4" t="s">
        <v>146</v>
      </c>
      <c r="B216" s="4" t="s">
        <v>94</v>
      </c>
      <c r="C216" s="4">
        <v>2000</v>
      </c>
      <c r="D216" s="4" t="s">
        <v>79</v>
      </c>
      <c r="E216" s="4">
        <v>6</v>
      </c>
      <c r="F216" s="4">
        <v>125</v>
      </c>
      <c r="G216" s="4">
        <v>7214</v>
      </c>
      <c r="H216" s="4">
        <v>3632</v>
      </c>
      <c r="I216" s="4">
        <v>6807</v>
      </c>
      <c r="J216" s="5">
        <v>0</v>
      </c>
      <c r="K216" s="6">
        <v>502.02488500000004</v>
      </c>
      <c r="L216" s="6">
        <v>503.0335284</v>
      </c>
      <c r="M216" s="6">
        <v>504.00028148</v>
      </c>
      <c r="N216" s="6">
        <v>5493.1397125</v>
      </c>
      <c r="O216" s="6">
        <v>5494.1920477</v>
      </c>
      <c r="P216" s="6">
        <v>5495.37159715</v>
      </c>
      <c r="Q216" s="6">
        <v>10</v>
      </c>
      <c r="R216" s="6">
        <v>11</v>
      </c>
      <c r="S216" s="6">
        <v>11</v>
      </c>
      <c r="T216" s="6">
        <v>502.18560629817284</v>
      </c>
      <c r="U216" s="6">
        <v>5493.321296734376</v>
      </c>
      <c r="V216" s="6">
        <v>5502.611007559473</v>
      </c>
      <c r="W216" s="4">
        <v>0</v>
      </c>
      <c r="X216" s="4">
        <v>0</v>
      </c>
      <c r="Y216" s="4">
        <v>0</v>
      </c>
      <c r="Z216" s="4" t="s">
        <v>575</v>
      </c>
      <c r="AA216" s="4" t="s">
        <v>576</v>
      </c>
    </row>
    <row r="217" ht="30" customHeight="1" spans="1:27" x14ac:dyDescent="0.25">
      <c r="A217" s="4" t="s">
        <v>146</v>
      </c>
      <c r="B217" s="4" t="s">
        <v>94</v>
      </c>
      <c r="C217" s="4">
        <v>2000</v>
      </c>
      <c r="D217" s="4" t="s">
        <v>79</v>
      </c>
      <c r="E217" s="4">
        <v>7</v>
      </c>
      <c r="F217" s="4">
        <v>125</v>
      </c>
      <c r="G217" s="4">
        <v>7214</v>
      </c>
      <c r="H217" s="4">
        <v>3642</v>
      </c>
      <c r="I217" s="4">
        <v>6807</v>
      </c>
      <c r="J217" s="5">
        <v>0</v>
      </c>
      <c r="K217" s="6">
        <v>502.01207850000003</v>
      </c>
      <c r="L217" s="6">
        <v>503.0490754</v>
      </c>
      <c r="M217" s="6">
        <v>503.95946971</v>
      </c>
      <c r="N217" s="6">
        <v>5493.1401705</v>
      </c>
      <c r="O217" s="6">
        <v>5494.1685947</v>
      </c>
      <c r="P217" s="6">
        <v>5495.42278987</v>
      </c>
      <c r="Q217" s="6">
        <v>10</v>
      </c>
      <c r="R217" s="6">
        <v>11</v>
      </c>
      <c r="S217" s="6">
        <v>11</v>
      </c>
      <c r="T217" s="6">
        <v>502.10978632825265</v>
      </c>
      <c r="U217" s="6">
        <v>5493.250783615749</v>
      </c>
      <c r="V217" s="6">
        <v>5502.629999249384</v>
      </c>
      <c r="W217" s="4">
        <v>0</v>
      </c>
      <c r="X217" s="4">
        <v>0</v>
      </c>
      <c r="Y217" s="4">
        <v>0</v>
      </c>
      <c r="Z217" s="4" t="s">
        <v>577</v>
      </c>
      <c r="AA217" s="4" t="s">
        <v>578</v>
      </c>
    </row>
    <row r="218" ht="30" customHeight="1" spans="1:27" x14ac:dyDescent="0.25">
      <c r="A218" s="4" t="s">
        <v>146</v>
      </c>
      <c r="B218" s="4" t="s">
        <v>94</v>
      </c>
      <c r="C218" s="4">
        <v>2000</v>
      </c>
      <c r="D218" s="4" t="s">
        <v>79</v>
      </c>
      <c r="E218" s="4">
        <v>8</v>
      </c>
      <c r="F218" s="4">
        <v>125</v>
      </c>
      <c r="G218" s="4">
        <v>7216</v>
      </c>
      <c r="H218" s="4">
        <v>3610</v>
      </c>
      <c r="I218" s="4">
        <v>6810</v>
      </c>
      <c r="J218" s="5">
        <v>0</v>
      </c>
      <c r="K218" s="6">
        <v>502.0072105</v>
      </c>
      <c r="L218" s="6">
        <v>503.045336</v>
      </c>
      <c r="M218" s="6">
        <v>504.03236730000003</v>
      </c>
      <c r="N218" s="6">
        <v>5493.132919</v>
      </c>
      <c r="O218" s="6">
        <v>5494.16445</v>
      </c>
      <c r="P218" s="6">
        <v>5495.47325005</v>
      </c>
      <c r="Q218" s="6">
        <v>10</v>
      </c>
      <c r="R218" s="6">
        <v>11</v>
      </c>
      <c r="S218" s="6">
        <v>11</v>
      </c>
      <c r="T218" s="6">
        <v>502.09049758924493</v>
      </c>
      <c r="U218" s="6">
        <v>5493.252114873043</v>
      </c>
      <c r="V218" s="6">
        <v>5502.556270183635</v>
      </c>
      <c r="W218" s="4">
        <v>0</v>
      </c>
      <c r="X218" s="4">
        <v>0</v>
      </c>
      <c r="Y218" s="4">
        <v>0</v>
      </c>
      <c r="Z218" s="4" t="s">
        <v>579</v>
      </c>
      <c r="AA218" s="4" t="s">
        <v>580</v>
      </c>
    </row>
    <row r="219" ht="30" customHeight="1" spans="1:27" x14ac:dyDescent="0.25">
      <c r="A219" s="4" t="s">
        <v>146</v>
      </c>
      <c r="B219" s="4" t="s">
        <v>94</v>
      </c>
      <c r="C219" s="4">
        <v>2000</v>
      </c>
      <c r="D219" s="4" t="s">
        <v>79</v>
      </c>
      <c r="E219" s="4">
        <v>9</v>
      </c>
      <c r="F219" s="4">
        <v>125</v>
      </c>
      <c r="G219" s="4">
        <v>7216</v>
      </c>
      <c r="H219" s="4">
        <v>3637</v>
      </c>
      <c r="I219" s="4">
        <v>6810</v>
      </c>
      <c r="J219" s="5">
        <v>0</v>
      </c>
      <c r="K219" s="6">
        <v>502.02982299999996</v>
      </c>
      <c r="L219" s="6">
        <v>503.0529515</v>
      </c>
      <c r="M219" s="6">
        <v>503.87978435</v>
      </c>
      <c r="N219" s="6">
        <v>5493.1414045</v>
      </c>
      <c r="O219" s="6">
        <v>5494.178701999999</v>
      </c>
      <c r="P219" s="6">
        <v>5495.415581300001</v>
      </c>
      <c r="Q219" s="6">
        <v>10</v>
      </c>
      <c r="R219" s="6">
        <v>11</v>
      </c>
      <c r="S219" s="6">
        <v>11</v>
      </c>
      <c r="T219" s="6">
        <v>502.11078303658445</v>
      </c>
      <c r="U219" s="6">
        <v>5493.256161200391</v>
      </c>
      <c r="V219" s="6">
        <v>5502.604320372355</v>
      </c>
      <c r="W219" s="4">
        <v>0</v>
      </c>
      <c r="X219" s="4">
        <v>0</v>
      </c>
      <c r="Y219" s="4">
        <v>0</v>
      </c>
      <c r="Z219" s="4" t="s">
        <v>581</v>
      </c>
      <c r="AA219" s="4" t="s">
        <v>582</v>
      </c>
    </row>
    <row r="220" ht="30" customHeight="1" spans="1:27" x14ac:dyDescent="0.25">
      <c r="A220" s="4" t="s">
        <v>146</v>
      </c>
      <c r="B220" s="4" t="s">
        <v>94</v>
      </c>
      <c r="C220" s="4">
        <v>2000</v>
      </c>
      <c r="D220" s="4" t="s">
        <v>79</v>
      </c>
      <c r="E220" s="4">
        <v>10</v>
      </c>
      <c r="F220" s="4">
        <v>125</v>
      </c>
      <c r="G220" s="4">
        <v>7215</v>
      </c>
      <c r="H220" s="4">
        <v>3501</v>
      </c>
      <c r="I220" s="4">
        <v>6809</v>
      </c>
      <c r="J220" s="5">
        <v>0</v>
      </c>
      <c r="K220" s="6">
        <v>502.005183</v>
      </c>
      <c r="L220" s="6">
        <v>503.0098416</v>
      </c>
      <c r="M220" s="6">
        <v>504.05901102</v>
      </c>
      <c r="N220" s="6">
        <v>5493.113689</v>
      </c>
      <c r="O220" s="6">
        <v>5494.171507</v>
      </c>
      <c r="P220" s="6">
        <v>5495.46676354</v>
      </c>
      <c r="Q220" s="6">
        <v>10</v>
      </c>
      <c r="R220" s="6">
        <v>11</v>
      </c>
      <c r="S220" s="6">
        <v>11</v>
      </c>
      <c r="T220" s="6">
        <v>502.1655652087301</v>
      </c>
      <c r="U220" s="6">
        <v>5493.303916346084</v>
      </c>
      <c r="V220" s="6">
        <v>5502.236631609269</v>
      </c>
      <c r="W220" s="4">
        <v>0</v>
      </c>
      <c r="X220" s="4">
        <v>0</v>
      </c>
      <c r="Y220" s="4">
        <v>0</v>
      </c>
      <c r="Z220" s="4" t="s">
        <v>583</v>
      </c>
      <c r="AA220" s="4" t="s">
        <v>584</v>
      </c>
    </row>
    <row r="221" ht="30" customHeight="1" spans="1:27" x14ac:dyDescent="0.25">
      <c r="A221" s="4" t="s">
        <v>146</v>
      </c>
      <c r="B221" s="4" t="s">
        <v>94</v>
      </c>
      <c r="C221" s="4">
        <v>2000</v>
      </c>
      <c r="D221" s="4" t="s">
        <v>79</v>
      </c>
      <c r="E221" s="4">
        <v>11</v>
      </c>
      <c r="F221" s="4">
        <v>125</v>
      </c>
      <c r="G221" s="4">
        <v>7217</v>
      </c>
      <c r="H221" s="4">
        <v>3668</v>
      </c>
      <c r="I221" s="4">
        <v>6811</v>
      </c>
      <c r="J221" s="5">
        <v>0</v>
      </c>
      <c r="K221" s="6">
        <v>502.022557</v>
      </c>
      <c r="L221" s="6">
        <v>503.0368582</v>
      </c>
      <c r="M221" s="6">
        <v>503.87005655999997</v>
      </c>
      <c r="N221" s="6">
        <v>5493.146872</v>
      </c>
      <c r="O221" s="6">
        <v>5494.1871868</v>
      </c>
      <c r="P221" s="6">
        <v>5495.45585736</v>
      </c>
      <c r="Q221" s="6">
        <v>10</v>
      </c>
      <c r="R221" s="6">
        <v>11</v>
      </c>
      <c r="S221" s="6">
        <v>11</v>
      </c>
      <c r="T221" s="6">
        <v>502.1090805096313</v>
      </c>
      <c r="U221" s="6">
        <v>5493.260442982407</v>
      </c>
      <c r="V221" s="6">
        <v>5502.639386758765</v>
      </c>
      <c r="W221" s="4">
        <v>0</v>
      </c>
      <c r="X221" s="4">
        <v>0</v>
      </c>
      <c r="Y221" s="4">
        <v>0</v>
      </c>
      <c r="Z221" s="4" t="s">
        <v>585</v>
      </c>
      <c r="AA221" s="4" t="s">
        <v>586</v>
      </c>
    </row>
    <row r="222" ht="30" customHeight="1" spans="1:27" x14ac:dyDescent="0.25">
      <c r="A222" s="4" t="s">
        <v>146</v>
      </c>
      <c r="B222" s="4" t="s">
        <v>94</v>
      </c>
      <c r="C222" s="4">
        <v>2000</v>
      </c>
      <c r="D222" s="4" t="s">
        <v>79</v>
      </c>
      <c r="E222" s="4">
        <v>12</v>
      </c>
      <c r="F222" s="4">
        <v>125</v>
      </c>
      <c r="G222" s="4">
        <v>7215</v>
      </c>
      <c r="H222" s="4">
        <v>3586</v>
      </c>
      <c r="I222" s="4">
        <v>6808</v>
      </c>
      <c r="J222" s="5">
        <v>0</v>
      </c>
      <c r="K222" s="6">
        <v>502.028007</v>
      </c>
      <c r="L222" s="6">
        <v>503.04646080000003</v>
      </c>
      <c r="M222" s="6">
        <v>503.91417988</v>
      </c>
      <c r="N222" s="6">
        <v>5493.151733</v>
      </c>
      <c r="O222" s="6">
        <v>5494.2038836</v>
      </c>
      <c r="P222" s="6">
        <v>5495.51015568</v>
      </c>
      <c r="Q222" s="6">
        <v>10</v>
      </c>
      <c r="R222" s="6">
        <v>11</v>
      </c>
      <c r="S222" s="6">
        <v>11</v>
      </c>
      <c r="T222" s="6">
        <v>502.11807603631377</v>
      </c>
      <c r="U222" s="6">
        <v>5493.273877003871</v>
      </c>
      <c r="V222" s="6">
        <v>5502.473405871241</v>
      </c>
      <c r="W222" s="4">
        <v>0</v>
      </c>
      <c r="X222" s="4">
        <v>0</v>
      </c>
      <c r="Y222" s="4">
        <v>0</v>
      </c>
      <c r="Z222" s="4" t="s">
        <v>587</v>
      </c>
      <c r="AA222" s="4" t="s">
        <v>588</v>
      </c>
    </row>
    <row r="223" ht="30" customHeight="1" spans="1:27" x14ac:dyDescent="0.25">
      <c r="A223" s="4" t="s">
        <v>146</v>
      </c>
      <c r="B223" s="4" t="s">
        <v>94</v>
      </c>
      <c r="C223" s="4">
        <v>2000</v>
      </c>
      <c r="D223" s="4" t="s">
        <v>79</v>
      </c>
      <c r="E223" s="4">
        <v>13</v>
      </c>
      <c r="F223" s="4">
        <v>125</v>
      </c>
      <c r="G223" s="4">
        <v>7216</v>
      </c>
      <c r="H223" s="4">
        <v>3629</v>
      </c>
      <c r="I223" s="4">
        <v>6810</v>
      </c>
      <c r="J223" s="5">
        <v>0</v>
      </c>
      <c r="K223" s="6">
        <v>502.0168415</v>
      </c>
      <c r="L223" s="6">
        <v>503.024793</v>
      </c>
      <c r="M223" s="6">
        <v>503.92045774999997</v>
      </c>
      <c r="N223" s="6">
        <v>5493.1307395</v>
      </c>
      <c r="O223" s="6">
        <v>5494.1641005</v>
      </c>
      <c r="P223" s="6">
        <v>5495.2821905</v>
      </c>
      <c r="Q223" s="6">
        <v>10</v>
      </c>
      <c r="R223" s="6">
        <v>11</v>
      </c>
      <c r="S223" s="6">
        <v>11</v>
      </c>
      <c r="T223" s="6">
        <v>502.1024817117545</v>
      </c>
      <c r="U223" s="6">
        <v>5493.240795907465</v>
      </c>
      <c r="V223" s="6">
        <v>5502.553266847966</v>
      </c>
      <c r="W223" s="4">
        <v>0</v>
      </c>
      <c r="X223" s="4">
        <v>0</v>
      </c>
      <c r="Y223" s="4">
        <v>0</v>
      </c>
      <c r="Z223" s="4" t="s">
        <v>589</v>
      </c>
      <c r="AA223" s="4" t="s">
        <v>590</v>
      </c>
    </row>
    <row r="224" ht="30" customHeight="1" spans="1:27" x14ac:dyDescent="0.25">
      <c r="A224" s="4" t="s">
        <v>146</v>
      </c>
      <c r="B224" s="4" t="s">
        <v>94</v>
      </c>
      <c r="C224" s="4">
        <v>2000</v>
      </c>
      <c r="D224" s="4" t="s">
        <v>79</v>
      </c>
      <c r="E224" s="4">
        <v>14</v>
      </c>
      <c r="F224" s="4">
        <v>125</v>
      </c>
      <c r="G224" s="4">
        <v>7215</v>
      </c>
      <c r="H224" s="4">
        <v>3570</v>
      </c>
      <c r="I224" s="4">
        <v>6810</v>
      </c>
      <c r="J224" s="5">
        <v>0</v>
      </c>
      <c r="K224" s="6">
        <v>502.025171</v>
      </c>
      <c r="L224" s="6">
        <v>503.0381554</v>
      </c>
      <c r="M224" s="6">
        <v>503.87646902</v>
      </c>
      <c r="N224" s="6">
        <v>5493.160039</v>
      </c>
      <c r="O224" s="6">
        <v>5494.1898666</v>
      </c>
      <c r="P224" s="6">
        <v>5495.50602286</v>
      </c>
      <c r="Q224" s="6">
        <v>10</v>
      </c>
      <c r="R224" s="6">
        <v>11</v>
      </c>
      <c r="S224" s="6">
        <v>11</v>
      </c>
      <c r="T224" s="6">
        <v>502.0987750439388</v>
      </c>
      <c r="U224" s="6">
        <v>5493.282761430078</v>
      </c>
      <c r="V224" s="6">
        <v>5502.507558569496</v>
      </c>
      <c r="W224" s="4">
        <v>0</v>
      </c>
      <c r="X224" s="4">
        <v>0</v>
      </c>
      <c r="Y224" s="4">
        <v>0</v>
      </c>
      <c r="Z224" s="4" t="s">
        <v>591</v>
      </c>
      <c r="AA224" s="4" t="s">
        <v>592</v>
      </c>
    </row>
    <row r="225" ht="30" customHeight="1" spans="1:27" x14ac:dyDescent="0.25">
      <c r="A225" s="4" t="s">
        <v>146</v>
      </c>
      <c r="B225" s="4" t="s">
        <v>94</v>
      </c>
      <c r="C225" s="4">
        <v>2000</v>
      </c>
      <c r="D225" s="4" t="s">
        <v>79</v>
      </c>
      <c r="E225" s="4">
        <v>15</v>
      </c>
      <c r="F225" s="4">
        <v>125</v>
      </c>
      <c r="G225" s="4">
        <v>7216</v>
      </c>
      <c r="H225" s="4">
        <v>3599</v>
      </c>
      <c r="I225" s="4">
        <v>6809</v>
      </c>
      <c r="J225" s="5">
        <v>0</v>
      </c>
      <c r="K225" s="6">
        <v>502.00287749999995</v>
      </c>
      <c r="L225" s="6">
        <v>503.00014550000003</v>
      </c>
      <c r="M225" s="6">
        <v>503.99491325</v>
      </c>
      <c r="N225" s="6">
        <v>5493.136144</v>
      </c>
      <c r="O225" s="6">
        <v>5494.1942895</v>
      </c>
      <c r="P225" s="6">
        <v>5495.54109815</v>
      </c>
      <c r="Q225" s="6">
        <v>10</v>
      </c>
      <c r="R225" s="6">
        <v>11</v>
      </c>
      <c r="S225" s="6">
        <v>11</v>
      </c>
      <c r="T225" s="6">
        <v>502.09152043043304</v>
      </c>
      <c r="U225" s="6">
        <v>5493.286799692497</v>
      </c>
      <c r="V225" s="6">
        <v>5502.515691192502</v>
      </c>
      <c r="W225" s="4">
        <v>0</v>
      </c>
      <c r="X225" s="4">
        <v>0</v>
      </c>
      <c r="Y225" s="4">
        <v>0</v>
      </c>
      <c r="Z225" s="4" t="s">
        <v>593</v>
      </c>
      <c r="AA225" s="4" t="s">
        <v>594</v>
      </c>
    </row>
    <row r="226" ht="30" customHeight="1" spans="1:27" x14ac:dyDescent="0.25">
      <c r="A226" s="4" t="s">
        <v>146</v>
      </c>
      <c r="B226" s="4" t="s">
        <v>94</v>
      </c>
      <c r="C226" s="4">
        <v>5000</v>
      </c>
      <c r="D226" s="4" t="s">
        <v>79</v>
      </c>
      <c r="E226" s="4">
        <v>0</v>
      </c>
      <c r="F226" s="4">
        <v>313</v>
      </c>
      <c r="G226" s="4">
        <v>18062</v>
      </c>
      <c r="H226" s="4">
        <v>9006</v>
      </c>
      <c r="I226" s="4">
        <v>17046</v>
      </c>
      <c r="J226" s="5">
        <v>0</v>
      </c>
      <c r="K226" s="6">
        <v>501.9732505</v>
      </c>
      <c r="L226" s="6">
        <v>502.6976542</v>
      </c>
      <c r="M226" s="6">
        <v>504.48465913</v>
      </c>
      <c r="N226" s="6">
        <v>5493.352913</v>
      </c>
      <c r="O226" s="6">
        <v>5494.297395</v>
      </c>
      <c r="P226" s="6">
        <v>5496.3738392800005</v>
      </c>
      <c r="Q226" s="6">
        <v>10</v>
      </c>
      <c r="R226" s="6">
        <v>11</v>
      </c>
      <c r="S226" s="6">
        <v>11</v>
      </c>
      <c r="T226" s="6">
        <v>502.12078663409596</v>
      </c>
      <c r="U226" s="6">
        <v>5493.541641829866</v>
      </c>
      <c r="V226" s="6">
        <v>5503.592543208275</v>
      </c>
      <c r="W226" s="4">
        <v>0</v>
      </c>
      <c r="X226" s="4">
        <v>0</v>
      </c>
      <c r="Y226" s="4">
        <v>0</v>
      </c>
      <c r="Z226" s="4" t="s">
        <v>595</v>
      </c>
      <c r="AA226" s="4" t="s">
        <v>596</v>
      </c>
    </row>
    <row r="227" ht="30" customHeight="1" spans="1:27" x14ac:dyDescent="0.25">
      <c r="A227" s="4" t="s">
        <v>146</v>
      </c>
      <c r="B227" s="4" t="s">
        <v>94</v>
      </c>
      <c r="C227" s="4">
        <v>5000</v>
      </c>
      <c r="D227" s="4" t="s">
        <v>79</v>
      </c>
      <c r="E227" s="4">
        <v>1</v>
      </c>
      <c r="F227" s="4">
        <v>313</v>
      </c>
      <c r="G227" s="4">
        <v>18064</v>
      </c>
      <c r="H227" s="4">
        <v>9095</v>
      </c>
      <c r="I227" s="4">
        <v>17047</v>
      </c>
      <c r="J227" s="5">
        <v>0</v>
      </c>
      <c r="K227" s="6">
        <v>501.96490300000005</v>
      </c>
      <c r="L227" s="6">
        <v>502.6870038</v>
      </c>
      <c r="M227" s="6">
        <v>504.47935282</v>
      </c>
      <c r="N227" s="6">
        <v>5493.3406545</v>
      </c>
      <c r="O227" s="6">
        <v>5494.312743</v>
      </c>
      <c r="P227" s="6">
        <v>5496.28020767</v>
      </c>
      <c r="Q227" s="6">
        <v>10</v>
      </c>
      <c r="R227" s="6">
        <v>11</v>
      </c>
      <c r="S227" s="6">
        <v>11</v>
      </c>
      <c r="T227" s="6">
        <v>502.05900991934294</v>
      </c>
      <c r="U227" s="6">
        <v>5493.479351936775</v>
      </c>
      <c r="V227" s="6">
        <v>5503.588062208453</v>
      </c>
      <c r="W227" s="4">
        <v>0</v>
      </c>
      <c r="X227" s="4">
        <v>0</v>
      </c>
      <c r="Y227" s="4">
        <v>0</v>
      </c>
      <c r="Z227" s="4" t="s">
        <v>597</v>
      </c>
      <c r="AA227" s="4" t="s">
        <v>598</v>
      </c>
    </row>
    <row r="228" ht="30" customHeight="1" spans="1:27" x14ac:dyDescent="0.25">
      <c r="A228" s="4" t="s">
        <v>146</v>
      </c>
      <c r="B228" s="4" t="s">
        <v>94</v>
      </c>
      <c r="C228" s="4">
        <v>5000</v>
      </c>
      <c r="D228" s="4" t="s">
        <v>79</v>
      </c>
      <c r="E228" s="4">
        <v>2</v>
      </c>
      <c r="F228" s="4">
        <v>313</v>
      </c>
      <c r="G228" s="4">
        <v>18066</v>
      </c>
      <c r="H228" s="4">
        <v>8989</v>
      </c>
      <c r="I228" s="4">
        <v>17049</v>
      </c>
      <c r="J228" s="5">
        <v>0</v>
      </c>
      <c r="K228" s="6">
        <v>501.955399</v>
      </c>
      <c r="L228" s="6">
        <v>502.665324</v>
      </c>
      <c r="M228" s="6">
        <v>504.2277396</v>
      </c>
      <c r="N228" s="6">
        <v>5493.3249915</v>
      </c>
      <c r="O228" s="6">
        <v>5494.2858165</v>
      </c>
      <c r="P228" s="6">
        <v>5495.97122145</v>
      </c>
      <c r="Q228" s="6">
        <v>10</v>
      </c>
      <c r="R228" s="6">
        <v>11</v>
      </c>
      <c r="S228" s="6">
        <v>11</v>
      </c>
      <c r="T228" s="6">
        <v>502.03596187872</v>
      </c>
      <c r="U228" s="6">
        <v>5493.440255163556</v>
      </c>
      <c r="V228" s="6">
        <v>5503.347759904019</v>
      </c>
      <c r="W228" s="4">
        <v>0</v>
      </c>
      <c r="X228" s="4">
        <v>0</v>
      </c>
      <c r="Y228" s="4">
        <v>0</v>
      </c>
      <c r="Z228" s="4" t="s">
        <v>599</v>
      </c>
      <c r="AA228" s="4" t="s">
        <v>600</v>
      </c>
    </row>
    <row r="229" ht="30" customHeight="1" spans="1:27" x14ac:dyDescent="0.25">
      <c r="A229" s="4" t="s">
        <v>146</v>
      </c>
      <c r="B229" s="4" t="s">
        <v>94</v>
      </c>
      <c r="C229" s="4">
        <v>5000</v>
      </c>
      <c r="D229" s="4" t="s">
        <v>79</v>
      </c>
      <c r="E229" s="4">
        <v>3</v>
      </c>
      <c r="F229" s="4">
        <v>313</v>
      </c>
      <c r="G229" s="4">
        <v>18066</v>
      </c>
      <c r="H229" s="4">
        <v>9003</v>
      </c>
      <c r="I229" s="4">
        <v>17048</v>
      </c>
      <c r="J229" s="5">
        <v>0</v>
      </c>
      <c r="K229" s="6">
        <v>501.948885</v>
      </c>
      <c r="L229" s="6">
        <v>502.669209</v>
      </c>
      <c r="M229" s="6">
        <v>504.2926635</v>
      </c>
      <c r="N229" s="6">
        <v>5493.325848500001</v>
      </c>
      <c r="O229" s="6">
        <v>5494.2723785</v>
      </c>
      <c r="P229" s="6">
        <v>5496.05782885</v>
      </c>
      <c r="Q229" s="6">
        <v>10</v>
      </c>
      <c r="R229" s="6">
        <v>11</v>
      </c>
      <c r="S229" s="6">
        <v>11</v>
      </c>
      <c r="T229" s="6">
        <v>502.0875102252872</v>
      </c>
      <c r="U229" s="6">
        <v>5493.494109035407</v>
      </c>
      <c r="V229" s="6">
        <v>5503.460937046459</v>
      </c>
      <c r="W229" s="4">
        <v>0</v>
      </c>
      <c r="X229" s="4">
        <v>0</v>
      </c>
      <c r="Y229" s="4">
        <v>0</v>
      </c>
      <c r="Z229" s="4" t="s">
        <v>601</v>
      </c>
      <c r="AA229" s="4" t="s">
        <v>602</v>
      </c>
    </row>
    <row r="230" ht="30" customHeight="1" spans="1:27" x14ac:dyDescent="0.25">
      <c r="A230" s="4" t="s">
        <v>146</v>
      </c>
      <c r="B230" s="4" t="s">
        <v>94</v>
      </c>
      <c r="C230" s="4">
        <v>5000</v>
      </c>
      <c r="D230" s="4" t="s">
        <v>79</v>
      </c>
      <c r="E230" s="4">
        <v>4</v>
      </c>
      <c r="F230" s="4">
        <v>313</v>
      </c>
      <c r="G230" s="4">
        <v>18066</v>
      </c>
      <c r="H230" s="4">
        <v>9178</v>
      </c>
      <c r="I230" s="4">
        <v>17048</v>
      </c>
      <c r="J230" s="5">
        <v>0</v>
      </c>
      <c r="K230" s="6">
        <v>501.977261</v>
      </c>
      <c r="L230" s="6">
        <v>502.695273</v>
      </c>
      <c r="M230" s="6">
        <v>504.35042964999997</v>
      </c>
      <c r="N230" s="6">
        <v>5493.3594885</v>
      </c>
      <c r="O230" s="6">
        <v>5494.3171505</v>
      </c>
      <c r="P230" s="6">
        <v>5495.95838285</v>
      </c>
      <c r="Q230" s="6">
        <v>10</v>
      </c>
      <c r="R230" s="6">
        <v>11</v>
      </c>
      <c r="S230" s="6">
        <v>11</v>
      </c>
      <c r="T230" s="6">
        <v>502.12162457240225</v>
      </c>
      <c r="U230" s="6">
        <v>5493.535574124263</v>
      </c>
      <c r="V230" s="6">
        <v>5503.771529730038</v>
      </c>
      <c r="W230" s="4">
        <v>0</v>
      </c>
      <c r="X230" s="4">
        <v>0</v>
      </c>
      <c r="Y230" s="4">
        <v>0</v>
      </c>
      <c r="Z230" s="4" t="s">
        <v>603</v>
      </c>
      <c r="AA230" s="4" t="s">
        <v>604</v>
      </c>
    </row>
    <row r="231" ht="30" customHeight="1" spans="1:27" x14ac:dyDescent="0.25">
      <c r="A231" s="4" t="s">
        <v>146</v>
      </c>
      <c r="B231" s="4" t="s">
        <v>94</v>
      </c>
      <c r="C231" s="4">
        <v>5000</v>
      </c>
      <c r="D231" s="4" t="s">
        <v>79</v>
      </c>
      <c r="E231" s="4">
        <v>5</v>
      </c>
      <c r="F231" s="4">
        <v>313</v>
      </c>
      <c r="G231" s="4">
        <v>18062</v>
      </c>
      <c r="H231" s="4">
        <v>9147</v>
      </c>
      <c r="I231" s="4">
        <v>17045</v>
      </c>
      <c r="J231" s="5">
        <v>0</v>
      </c>
      <c r="K231" s="6">
        <v>501.9541885</v>
      </c>
      <c r="L231" s="6">
        <v>502.6728556</v>
      </c>
      <c r="M231" s="6">
        <v>504.16887575</v>
      </c>
      <c r="N231" s="6">
        <v>5493.3635265</v>
      </c>
      <c r="O231" s="6">
        <v>5494.3181497</v>
      </c>
      <c r="P231" s="6">
        <v>5496.17701813</v>
      </c>
      <c r="Q231" s="6">
        <v>10</v>
      </c>
      <c r="R231" s="6">
        <v>11</v>
      </c>
      <c r="S231" s="6">
        <v>11</v>
      </c>
      <c r="T231" s="6">
        <v>502.09274571946384</v>
      </c>
      <c r="U231" s="6">
        <v>5493.53623326732</v>
      </c>
      <c r="V231" s="6">
        <v>5503.824672343092</v>
      </c>
      <c r="W231" s="4">
        <v>0</v>
      </c>
      <c r="X231" s="4">
        <v>0</v>
      </c>
      <c r="Y231" s="4">
        <v>0</v>
      </c>
      <c r="Z231" s="4" t="s">
        <v>605</v>
      </c>
      <c r="AA231" s="4" t="s">
        <v>606</v>
      </c>
    </row>
    <row r="232" ht="30" customHeight="1" spans="1:27" x14ac:dyDescent="0.25">
      <c r="A232" s="4" t="s">
        <v>146</v>
      </c>
      <c r="B232" s="4" t="s">
        <v>94</v>
      </c>
      <c r="C232" s="4">
        <v>5000</v>
      </c>
      <c r="D232" s="4" t="s">
        <v>79</v>
      </c>
      <c r="E232" s="4">
        <v>6</v>
      </c>
      <c r="F232" s="4">
        <v>313</v>
      </c>
      <c r="G232" s="4">
        <v>18068</v>
      </c>
      <c r="H232" s="4">
        <v>8963</v>
      </c>
      <c r="I232" s="4">
        <v>17050</v>
      </c>
      <c r="J232" s="5">
        <v>0</v>
      </c>
      <c r="K232" s="6">
        <v>501.964457</v>
      </c>
      <c r="L232" s="6">
        <v>502.6694534</v>
      </c>
      <c r="M232" s="6">
        <v>504.28500601</v>
      </c>
      <c r="N232" s="6">
        <v>5493.332609</v>
      </c>
      <c r="O232" s="6">
        <v>5494.2681096</v>
      </c>
      <c r="P232" s="6">
        <v>5496.13641952</v>
      </c>
      <c r="Q232" s="6">
        <v>10</v>
      </c>
      <c r="R232" s="6">
        <v>11</v>
      </c>
      <c r="S232" s="6">
        <v>11</v>
      </c>
      <c r="T232" s="6">
        <v>502.0716124536724</v>
      </c>
      <c r="U232" s="6">
        <v>5493.466345302233</v>
      </c>
      <c r="V232" s="6">
        <v>5503.387345616121</v>
      </c>
      <c r="W232" s="4">
        <v>0</v>
      </c>
      <c r="X232" s="4">
        <v>0</v>
      </c>
      <c r="Y232" s="4">
        <v>0</v>
      </c>
      <c r="Z232" s="4" t="s">
        <v>607</v>
      </c>
      <c r="AA232" s="4" t="s">
        <v>608</v>
      </c>
    </row>
    <row r="233" ht="30" customHeight="1" spans="1:27" x14ac:dyDescent="0.25">
      <c r="A233" s="4" t="s">
        <v>146</v>
      </c>
      <c r="B233" s="4" t="s">
        <v>94</v>
      </c>
      <c r="C233" s="4">
        <v>5000</v>
      </c>
      <c r="D233" s="4" t="s">
        <v>79</v>
      </c>
      <c r="E233" s="4">
        <v>7</v>
      </c>
      <c r="F233" s="4">
        <v>313</v>
      </c>
      <c r="G233" s="4">
        <v>18065</v>
      </c>
      <c r="H233" s="4">
        <v>9054</v>
      </c>
      <c r="I233" s="4">
        <v>17047</v>
      </c>
      <c r="J233" s="5">
        <v>0</v>
      </c>
      <c r="K233" s="6">
        <v>501.980245</v>
      </c>
      <c r="L233" s="6">
        <v>502.6935974</v>
      </c>
      <c r="M233" s="6">
        <v>504.19826744</v>
      </c>
      <c r="N233" s="6">
        <v>5493.383697</v>
      </c>
      <c r="O233" s="6">
        <v>5494.3515086</v>
      </c>
      <c r="P233" s="6">
        <v>5496.2395175599995</v>
      </c>
      <c r="Q233" s="6">
        <v>10</v>
      </c>
      <c r="R233" s="6">
        <v>11</v>
      </c>
      <c r="S233" s="6">
        <v>11</v>
      </c>
      <c r="T233" s="6">
        <v>502.0549467339616</v>
      </c>
      <c r="U233" s="6">
        <v>5493.503022632813</v>
      </c>
      <c r="V233" s="6">
        <v>5503.728307621265</v>
      </c>
      <c r="W233" s="4">
        <v>0</v>
      </c>
      <c r="X233" s="4">
        <v>0</v>
      </c>
      <c r="Y233" s="4">
        <v>0</v>
      </c>
      <c r="Z233" s="4" t="s">
        <v>609</v>
      </c>
      <c r="AA233" s="4" t="s">
        <v>610</v>
      </c>
    </row>
    <row r="234" ht="30" customHeight="1" spans="1:27" x14ac:dyDescent="0.25">
      <c r="A234" s="4" t="s">
        <v>146</v>
      </c>
      <c r="B234" s="4" t="s">
        <v>94</v>
      </c>
      <c r="C234" s="4">
        <v>5000</v>
      </c>
      <c r="D234" s="4" t="s">
        <v>79</v>
      </c>
      <c r="E234" s="4">
        <v>8</v>
      </c>
      <c r="F234" s="4">
        <v>312</v>
      </c>
      <c r="G234" s="4">
        <v>18005</v>
      </c>
      <c r="H234" s="4">
        <v>9021</v>
      </c>
      <c r="I234" s="4">
        <v>16991</v>
      </c>
      <c r="J234" s="5">
        <v>0</v>
      </c>
      <c r="K234" s="6">
        <v>501.989077</v>
      </c>
      <c r="L234" s="6">
        <v>502.702425</v>
      </c>
      <c r="M234" s="6">
        <v>504.49817136</v>
      </c>
      <c r="N234" s="6">
        <v>5493.397915</v>
      </c>
      <c r="O234" s="6">
        <v>5494.354218</v>
      </c>
      <c r="P234" s="6">
        <v>5496.2606406</v>
      </c>
      <c r="Q234" s="6">
        <v>10</v>
      </c>
      <c r="R234" s="6">
        <v>11</v>
      </c>
      <c r="S234" s="6">
        <v>11</v>
      </c>
      <c r="T234" s="6">
        <v>502.0652180856982</v>
      </c>
      <c r="U234" s="6">
        <v>5493.518868438454</v>
      </c>
      <c r="V234" s="6">
        <v>5503.829679994516</v>
      </c>
      <c r="W234" s="4">
        <v>0</v>
      </c>
      <c r="X234" s="4">
        <v>0</v>
      </c>
      <c r="Y234" s="4">
        <v>0</v>
      </c>
      <c r="Z234" s="4" t="s">
        <v>611</v>
      </c>
      <c r="AA234" s="4" t="s">
        <v>612</v>
      </c>
    </row>
    <row r="235" ht="30" customHeight="1" spans="1:27" x14ac:dyDescent="0.25">
      <c r="A235" s="4" t="s">
        <v>146</v>
      </c>
      <c r="B235" s="4" t="s">
        <v>94</v>
      </c>
      <c r="C235" s="4">
        <v>5000</v>
      </c>
      <c r="D235" s="4" t="s">
        <v>79</v>
      </c>
      <c r="E235" s="4">
        <v>9</v>
      </c>
      <c r="F235" s="4">
        <v>312</v>
      </c>
      <c r="G235" s="4">
        <v>18005</v>
      </c>
      <c r="H235" s="4">
        <v>8967</v>
      </c>
      <c r="I235" s="4">
        <v>16993</v>
      </c>
      <c r="J235" s="5">
        <v>0</v>
      </c>
      <c r="K235" s="6">
        <v>501.966901</v>
      </c>
      <c r="L235" s="6">
        <v>502.6818864</v>
      </c>
      <c r="M235" s="6">
        <v>504.3200378</v>
      </c>
      <c r="N235" s="6">
        <v>5493.35198</v>
      </c>
      <c r="O235" s="6">
        <v>5494.31048</v>
      </c>
      <c r="P235" s="6">
        <v>5496.512069920001</v>
      </c>
      <c r="Q235" s="6">
        <v>10</v>
      </c>
      <c r="R235" s="6">
        <v>11</v>
      </c>
      <c r="S235" s="6">
        <v>11</v>
      </c>
      <c r="T235" s="6">
        <v>502.0978753762317</v>
      </c>
      <c r="U235" s="6">
        <v>5493.53428713468</v>
      </c>
      <c r="V235" s="6">
        <v>5503.570302905237</v>
      </c>
      <c r="W235" s="4">
        <v>0</v>
      </c>
      <c r="X235" s="4">
        <v>0</v>
      </c>
      <c r="Y235" s="4">
        <v>0</v>
      </c>
      <c r="Z235" s="4" t="s">
        <v>613</v>
      </c>
      <c r="AA235" s="4" t="s">
        <v>614</v>
      </c>
    </row>
    <row r="236" ht="30" customHeight="1" spans="1:27" x14ac:dyDescent="0.25">
      <c r="A236" s="4" t="s">
        <v>146</v>
      </c>
      <c r="B236" s="4" t="s">
        <v>94</v>
      </c>
      <c r="C236" s="4">
        <v>5000</v>
      </c>
      <c r="D236" s="4" t="s">
        <v>79</v>
      </c>
      <c r="E236" s="4">
        <v>10</v>
      </c>
      <c r="F236" s="4">
        <v>312</v>
      </c>
      <c r="G236" s="4">
        <v>18009</v>
      </c>
      <c r="H236" s="4">
        <v>8913</v>
      </c>
      <c r="I236" s="4">
        <v>16996</v>
      </c>
      <c r="J236" s="5">
        <v>0</v>
      </c>
      <c r="K236" s="6">
        <v>501.976826</v>
      </c>
      <c r="L236" s="6">
        <v>502.696657</v>
      </c>
      <c r="M236" s="6">
        <v>504.15392292</v>
      </c>
      <c r="N236" s="6">
        <v>5493.369867</v>
      </c>
      <c r="O236" s="6">
        <v>5494.3442847999995</v>
      </c>
      <c r="P236" s="6">
        <v>5496.14420208</v>
      </c>
      <c r="Q236" s="6">
        <v>10</v>
      </c>
      <c r="R236" s="6">
        <v>11</v>
      </c>
      <c r="S236" s="6">
        <v>11</v>
      </c>
      <c r="T236" s="6">
        <v>502.0626488857258</v>
      </c>
      <c r="U236" s="6">
        <v>5493.4999507219145</v>
      </c>
      <c r="V236" s="6">
        <v>5503.513562267434</v>
      </c>
      <c r="W236" s="4">
        <v>0</v>
      </c>
      <c r="X236" s="4">
        <v>0</v>
      </c>
      <c r="Y236" s="4">
        <v>0</v>
      </c>
      <c r="Z236" s="4" t="s">
        <v>615</v>
      </c>
      <c r="AA236" s="4" t="s">
        <v>616</v>
      </c>
    </row>
    <row r="237" ht="30" customHeight="1" spans="1:27" x14ac:dyDescent="0.25">
      <c r="A237" s="4" t="s">
        <v>146</v>
      </c>
      <c r="B237" s="4" t="s">
        <v>94</v>
      </c>
      <c r="C237" s="4">
        <v>5000</v>
      </c>
      <c r="D237" s="4" t="s">
        <v>79</v>
      </c>
      <c r="E237" s="4">
        <v>11</v>
      </c>
      <c r="F237" s="4">
        <v>312</v>
      </c>
      <c r="G237" s="4">
        <v>18009</v>
      </c>
      <c r="H237" s="4">
        <v>9098</v>
      </c>
      <c r="I237" s="4">
        <v>16995</v>
      </c>
      <c r="J237" s="5">
        <v>0</v>
      </c>
      <c r="K237" s="6">
        <v>501.979749</v>
      </c>
      <c r="L237" s="6">
        <v>502.7001288</v>
      </c>
      <c r="M237" s="6">
        <v>504.3330736</v>
      </c>
      <c r="N237" s="6">
        <v>5493.379189</v>
      </c>
      <c r="O237" s="6">
        <v>5494.331574</v>
      </c>
      <c r="P237" s="6">
        <v>5496.4519168</v>
      </c>
      <c r="Q237" s="6">
        <v>10</v>
      </c>
      <c r="R237" s="6">
        <v>11</v>
      </c>
      <c r="S237" s="6">
        <v>11</v>
      </c>
      <c r="T237" s="6">
        <v>502.09123342689605</v>
      </c>
      <c r="U237" s="6">
        <v>5493.534423615016</v>
      </c>
      <c r="V237" s="6">
        <v>5503.734585908811</v>
      </c>
      <c r="W237" s="4">
        <v>0</v>
      </c>
      <c r="X237" s="4">
        <v>0</v>
      </c>
      <c r="Y237" s="4">
        <v>0</v>
      </c>
      <c r="Z237" s="4" t="s">
        <v>617</v>
      </c>
      <c r="AA237" s="4" t="s">
        <v>618</v>
      </c>
    </row>
    <row r="238" ht="30" customHeight="1" spans="1:27" x14ac:dyDescent="0.25">
      <c r="A238" s="4" t="s">
        <v>146</v>
      </c>
      <c r="B238" s="4" t="s">
        <v>94</v>
      </c>
      <c r="C238" s="4">
        <v>5000</v>
      </c>
      <c r="D238" s="4" t="s">
        <v>79</v>
      </c>
      <c r="E238" s="4">
        <v>12</v>
      </c>
      <c r="F238" s="4">
        <v>312</v>
      </c>
      <c r="G238" s="4">
        <v>18005</v>
      </c>
      <c r="H238" s="4">
        <v>8866</v>
      </c>
      <c r="I238" s="4">
        <v>16992</v>
      </c>
      <c r="J238" s="5">
        <v>0</v>
      </c>
      <c r="K238" s="6">
        <v>501.966217</v>
      </c>
      <c r="L238" s="6">
        <v>502.6800724</v>
      </c>
      <c r="M238" s="6">
        <v>504.3071056</v>
      </c>
      <c r="N238" s="6">
        <v>5493.371995</v>
      </c>
      <c r="O238" s="6">
        <v>5494.3169732</v>
      </c>
      <c r="P238" s="6">
        <v>5496.23561752</v>
      </c>
      <c r="Q238" s="6">
        <v>10</v>
      </c>
      <c r="R238" s="6">
        <v>11</v>
      </c>
      <c r="S238" s="6">
        <v>11</v>
      </c>
      <c r="T238" s="6">
        <v>502.07524279783456</v>
      </c>
      <c r="U238" s="6">
        <v>5493.5246522380285</v>
      </c>
      <c r="V238" s="6">
        <v>5503.606244554499</v>
      </c>
      <c r="W238" s="4">
        <v>0</v>
      </c>
      <c r="X238" s="4">
        <v>0</v>
      </c>
      <c r="Y238" s="4">
        <v>0</v>
      </c>
      <c r="Z238" s="4" t="s">
        <v>619</v>
      </c>
      <c r="AA238" s="4" t="s">
        <v>620</v>
      </c>
    </row>
    <row r="239" ht="30" customHeight="1" spans="1:27" x14ac:dyDescent="0.25">
      <c r="A239" s="4" t="s">
        <v>146</v>
      </c>
      <c r="B239" s="4" t="s">
        <v>94</v>
      </c>
      <c r="C239" s="4">
        <v>5000</v>
      </c>
      <c r="D239" s="4" t="s">
        <v>79</v>
      </c>
      <c r="E239" s="4">
        <v>13</v>
      </c>
      <c r="F239" s="4">
        <v>312</v>
      </c>
      <c r="G239" s="4">
        <v>18007</v>
      </c>
      <c r="H239" s="4">
        <v>8976</v>
      </c>
      <c r="I239" s="4">
        <v>16993</v>
      </c>
      <c r="J239" s="5">
        <v>0</v>
      </c>
      <c r="K239" s="6">
        <v>501.953756</v>
      </c>
      <c r="L239" s="6">
        <v>502.6662298</v>
      </c>
      <c r="M239" s="6">
        <v>504.61636086</v>
      </c>
      <c r="N239" s="6">
        <v>5493.339718</v>
      </c>
      <c r="O239" s="6">
        <v>5494.2697438000005</v>
      </c>
      <c r="P239" s="6">
        <v>5496.2387352999995</v>
      </c>
      <c r="Q239" s="6">
        <v>10</v>
      </c>
      <c r="R239" s="6">
        <v>11</v>
      </c>
      <c r="S239" s="6">
        <v>11</v>
      </c>
      <c r="T239" s="6">
        <v>502.0749985341799</v>
      </c>
      <c r="U239" s="6">
        <v>5493.502824315775</v>
      </c>
      <c r="V239" s="6">
        <v>5503.5285641785</v>
      </c>
      <c r="W239" s="4">
        <v>0</v>
      </c>
      <c r="X239" s="4">
        <v>0</v>
      </c>
      <c r="Y239" s="4">
        <v>0</v>
      </c>
      <c r="Z239" s="4" t="s">
        <v>621</v>
      </c>
      <c r="AA239" s="4" t="s">
        <v>622</v>
      </c>
    </row>
    <row r="240" ht="30" customHeight="1" spans="1:27" x14ac:dyDescent="0.25">
      <c r="A240" s="4" t="s">
        <v>146</v>
      </c>
      <c r="B240" s="4" t="s">
        <v>94</v>
      </c>
      <c r="C240" s="4">
        <v>5000</v>
      </c>
      <c r="D240" s="4" t="s">
        <v>79</v>
      </c>
      <c r="E240" s="4">
        <v>14</v>
      </c>
      <c r="F240" s="4">
        <v>312</v>
      </c>
      <c r="G240" s="4">
        <v>18009</v>
      </c>
      <c r="H240" s="4">
        <v>9030</v>
      </c>
      <c r="I240" s="4">
        <v>16996</v>
      </c>
      <c r="J240" s="5">
        <v>0</v>
      </c>
      <c r="K240" s="6">
        <v>501.96468</v>
      </c>
      <c r="L240" s="6">
        <v>502.66502979999996</v>
      </c>
      <c r="M240" s="6">
        <v>504.1822981599999</v>
      </c>
      <c r="N240" s="6">
        <v>5493.322853</v>
      </c>
      <c r="O240" s="6">
        <v>5494.2982931999995</v>
      </c>
      <c r="P240" s="6">
        <v>5496.48722024</v>
      </c>
      <c r="Q240" s="6">
        <v>10</v>
      </c>
      <c r="R240" s="6">
        <v>11</v>
      </c>
      <c r="S240" s="6">
        <v>11</v>
      </c>
      <c r="T240" s="6">
        <v>502.03585135149183</v>
      </c>
      <c r="U240" s="6">
        <v>5493.466314547061</v>
      </c>
      <c r="V240" s="6">
        <v>5503.451877821642</v>
      </c>
      <c r="W240" s="4">
        <v>0</v>
      </c>
      <c r="X240" s="4">
        <v>0</v>
      </c>
      <c r="Y240" s="4">
        <v>0</v>
      </c>
      <c r="Z240" s="4" t="s">
        <v>623</v>
      </c>
      <c r="AA240" s="4" t="s">
        <v>624</v>
      </c>
    </row>
    <row r="241" ht="30" customHeight="1" spans="1:27" x14ac:dyDescent="0.25">
      <c r="A241" s="4" t="s">
        <v>146</v>
      </c>
      <c r="B241" s="4" t="s">
        <v>94</v>
      </c>
      <c r="C241" s="4">
        <v>5000</v>
      </c>
      <c r="D241" s="4" t="s">
        <v>79</v>
      </c>
      <c r="E241" s="4">
        <v>15</v>
      </c>
      <c r="F241" s="4">
        <v>312</v>
      </c>
      <c r="G241" s="4">
        <v>18009</v>
      </c>
      <c r="H241" s="4">
        <v>8931</v>
      </c>
      <c r="I241" s="4">
        <v>16993</v>
      </c>
      <c r="J241" s="5">
        <v>0</v>
      </c>
      <c r="K241" s="6">
        <v>501.981615</v>
      </c>
      <c r="L241" s="6">
        <v>502.68506779999996</v>
      </c>
      <c r="M241" s="6">
        <v>504.46339631999996</v>
      </c>
      <c r="N241" s="6">
        <v>5493.361774</v>
      </c>
      <c r="O241" s="6">
        <v>5494.3233107999995</v>
      </c>
      <c r="P241" s="6">
        <v>5496.21683068</v>
      </c>
      <c r="Q241" s="6">
        <v>10</v>
      </c>
      <c r="R241" s="6">
        <v>11</v>
      </c>
      <c r="S241" s="6">
        <v>11</v>
      </c>
      <c r="T241" s="6">
        <v>502.0563078709527</v>
      </c>
      <c r="U241" s="6">
        <v>5493.491379392976</v>
      </c>
      <c r="V241" s="6">
        <v>5503.568722273134</v>
      </c>
      <c r="W241" s="4">
        <v>0</v>
      </c>
      <c r="X241" s="4">
        <v>0</v>
      </c>
      <c r="Y241" s="4">
        <v>0</v>
      </c>
      <c r="Z241" s="4" t="s">
        <v>625</v>
      </c>
      <c r="AA241" s="4" t="s">
        <v>626</v>
      </c>
    </row>
    <row r="242" ht="30" customHeight="1" spans="1:27" x14ac:dyDescent="0.25">
      <c r="A242" s="4" t="s">
        <v>146</v>
      </c>
      <c r="B242" s="4" t="s">
        <v>94</v>
      </c>
      <c r="C242" s="4">
        <v>10000</v>
      </c>
      <c r="D242" s="4" t="s">
        <v>79</v>
      </c>
      <c r="E242" s="4">
        <v>0</v>
      </c>
      <c r="F242" s="4">
        <v>625</v>
      </c>
      <c r="G242" s="4">
        <v>36072</v>
      </c>
      <c r="H242" s="4">
        <v>18023</v>
      </c>
      <c r="I242" s="4">
        <v>34042</v>
      </c>
      <c r="J242" s="5">
        <v>0</v>
      </c>
      <c r="K242" s="6">
        <v>502.0355295</v>
      </c>
      <c r="L242" s="6">
        <v>503.4747529</v>
      </c>
      <c r="M242" s="6">
        <v>515.84015417</v>
      </c>
      <c r="N242" s="6">
        <v>5493.4850185</v>
      </c>
      <c r="O242" s="6">
        <v>5495.565422600001</v>
      </c>
      <c r="P242" s="6">
        <v>5506.97553025</v>
      </c>
      <c r="Q242" s="6">
        <v>10</v>
      </c>
      <c r="R242" s="6">
        <v>11</v>
      </c>
      <c r="S242" s="6">
        <v>11</v>
      </c>
      <c r="T242" s="6">
        <v>502.6811139168295</v>
      </c>
      <c r="U242" s="6">
        <v>5494.198777160297</v>
      </c>
      <c r="V242" s="6">
        <v>5503.198292011671</v>
      </c>
      <c r="W242" s="4">
        <v>0</v>
      </c>
      <c r="X242" s="4">
        <v>0</v>
      </c>
      <c r="Y242" s="4">
        <v>0</v>
      </c>
      <c r="Z242" s="4" t="s">
        <v>627</v>
      </c>
      <c r="AA242" s="4" t="s">
        <v>628</v>
      </c>
    </row>
    <row r="243" ht="30" customHeight="1" spans="1:27" x14ac:dyDescent="0.25">
      <c r="A243" s="4" t="s">
        <v>146</v>
      </c>
      <c r="B243" s="4" t="s">
        <v>94</v>
      </c>
      <c r="C243" s="4">
        <v>10000</v>
      </c>
      <c r="D243" s="4" t="s">
        <v>79</v>
      </c>
      <c r="E243" s="4">
        <v>1</v>
      </c>
      <c r="F243" s="4">
        <v>625</v>
      </c>
      <c r="G243" s="4">
        <v>36082</v>
      </c>
      <c r="H243" s="4">
        <v>17928</v>
      </c>
      <c r="I243" s="4">
        <v>34054</v>
      </c>
      <c r="J243" s="5">
        <v>0</v>
      </c>
      <c r="K243" s="6">
        <v>502.05803349999996</v>
      </c>
      <c r="L243" s="6">
        <v>503.5265609</v>
      </c>
      <c r="M243" s="6">
        <v>515.27715991</v>
      </c>
      <c r="N243" s="6">
        <v>5493.453876</v>
      </c>
      <c r="O243" s="6">
        <v>5495.3030574</v>
      </c>
      <c r="P243" s="6">
        <v>5505.29454193</v>
      </c>
      <c r="Q243" s="6">
        <v>10</v>
      </c>
      <c r="R243" s="6">
        <v>11</v>
      </c>
      <c r="S243" s="6">
        <v>11</v>
      </c>
      <c r="T243" s="6">
        <v>502.647796196752</v>
      </c>
      <c r="U243" s="6">
        <v>5494.047813918978</v>
      </c>
      <c r="V243" s="6">
        <v>5502.220905400211</v>
      </c>
      <c r="W243" s="4">
        <v>0</v>
      </c>
      <c r="X243" s="4">
        <v>0</v>
      </c>
      <c r="Y243" s="4">
        <v>0</v>
      </c>
      <c r="Z243" s="4" t="s">
        <v>629</v>
      </c>
      <c r="AA243" s="4" t="s">
        <v>630</v>
      </c>
    </row>
    <row r="244" ht="30" customHeight="1" spans="1:27" x14ac:dyDescent="0.25">
      <c r="A244" s="4" t="s">
        <v>146</v>
      </c>
      <c r="B244" s="4" t="s">
        <v>94</v>
      </c>
      <c r="C244" s="4">
        <v>10000</v>
      </c>
      <c r="D244" s="4" t="s">
        <v>79</v>
      </c>
      <c r="E244" s="4">
        <v>2</v>
      </c>
      <c r="F244" s="4">
        <v>625</v>
      </c>
      <c r="G244" s="4">
        <v>36075</v>
      </c>
      <c r="H244" s="4">
        <v>17987</v>
      </c>
      <c r="I244" s="4">
        <v>34045</v>
      </c>
      <c r="J244" s="5">
        <v>0</v>
      </c>
      <c r="K244" s="6">
        <v>502.036877</v>
      </c>
      <c r="L244" s="6">
        <v>503.5163958</v>
      </c>
      <c r="M244" s="6">
        <v>515.7490963</v>
      </c>
      <c r="N244" s="6">
        <v>5493.451583</v>
      </c>
      <c r="O244" s="6">
        <v>5495.426528</v>
      </c>
      <c r="P244" s="6">
        <v>5506.81703216</v>
      </c>
      <c r="Q244" s="6">
        <v>10</v>
      </c>
      <c r="R244" s="6">
        <v>11</v>
      </c>
      <c r="S244" s="6">
        <v>11</v>
      </c>
      <c r="T244" s="6">
        <v>502.69101273832837</v>
      </c>
      <c r="U244" s="6">
        <v>5494.128499850745</v>
      </c>
      <c r="V244" s="6">
        <v>5502.8931058817425</v>
      </c>
      <c r="W244" s="4">
        <v>0</v>
      </c>
      <c r="X244" s="4">
        <v>0</v>
      </c>
      <c r="Y244" s="4">
        <v>0</v>
      </c>
      <c r="Z244" s="4" t="s">
        <v>631</v>
      </c>
      <c r="AA244" s="4" t="s">
        <v>632</v>
      </c>
    </row>
    <row r="245" ht="30" customHeight="1" spans="1:27" x14ac:dyDescent="0.25">
      <c r="A245" s="4" t="s">
        <v>146</v>
      </c>
      <c r="B245" s="4" t="s">
        <v>94</v>
      </c>
      <c r="C245" s="4">
        <v>10000</v>
      </c>
      <c r="D245" s="4" t="s">
        <v>79</v>
      </c>
      <c r="E245" s="4">
        <v>3</v>
      </c>
      <c r="F245" s="4">
        <v>625</v>
      </c>
      <c r="G245" s="4">
        <v>36089</v>
      </c>
      <c r="H245" s="4">
        <v>17883</v>
      </c>
      <c r="I245" s="4">
        <v>34058</v>
      </c>
      <c r="J245" s="5">
        <v>0</v>
      </c>
      <c r="K245" s="6">
        <v>502.054855</v>
      </c>
      <c r="L245" s="6">
        <v>503.5159038</v>
      </c>
      <c r="M245" s="6">
        <v>513.6924836</v>
      </c>
      <c r="N245" s="6">
        <v>5493.438469</v>
      </c>
      <c r="O245" s="6">
        <v>5495.2222684</v>
      </c>
      <c r="P245" s="6">
        <v>5503.88581108</v>
      </c>
      <c r="Q245" s="6">
        <v>10</v>
      </c>
      <c r="R245" s="6">
        <v>11</v>
      </c>
      <c r="S245" s="6">
        <v>11</v>
      </c>
      <c r="T245" s="6">
        <v>502.61497877419555</v>
      </c>
      <c r="U245" s="6">
        <v>5494.001028962064</v>
      </c>
      <c r="V245" s="6">
        <v>5502.132712985251</v>
      </c>
      <c r="W245" s="4">
        <v>0</v>
      </c>
      <c r="X245" s="4">
        <v>0</v>
      </c>
      <c r="Y245" s="4">
        <v>0</v>
      </c>
      <c r="Z245" s="4" t="s">
        <v>633</v>
      </c>
      <c r="AA245" s="4" t="s">
        <v>634</v>
      </c>
    </row>
    <row r="246" ht="30" customHeight="1" spans="1:27" x14ac:dyDescent="0.25">
      <c r="A246" s="4" t="s">
        <v>146</v>
      </c>
      <c r="B246" s="4" t="s">
        <v>94</v>
      </c>
      <c r="C246" s="4">
        <v>10000</v>
      </c>
      <c r="D246" s="4" t="s">
        <v>79</v>
      </c>
      <c r="E246" s="4">
        <v>4</v>
      </c>
      <c r="F246" s="4">
        <v>625</v>
      </c>
      <c r="G246" s="4">
        <v>36078</v>
      </c>
      <c r="H246" s="4">
        <v>17937</v>
      </c>
      <c r="I246" s="4">
        <v>34050</v>
      </c>
      <c r="J246" s="5">
        <v>0</v>
      </c>
      <c r="K246" s="6">
        <v>502.02479800000003</v>
      </c>
      <c r="L246" s="6">
        <v>503.3956757</v>
      </c>
      <c r="M246" s="6">
        <v>515.2939161500001</v>
      </c>
      <c r="N246" s="6">
        <v>5493.4567345</v>
      </c>
      <c r="O246" s="6">
        <v>5495.2630595</v>
      </c>
      <c r="P246" s="6">
        <v>5505.38849725</v>
      </c>
      <c r="Q246" s="6">
        <v>10</v>
      </c>
      <c r="R246" s="6">
        <v>11</v>
      </c>
      <c r="S246" s="6">
        <v>11</v>
      </c>
      <c r="T246" s="6">
        <v>502.6189982946425</v>
      </c>
      <c r="U246" s="6">
        <v>5494.046200283494</v>
      </c>
      <c r="V246" s="6">
        <v>5502.937897880723</v>
      </c>
      <c r="W246" s="4">
        <v>0</v>
      </c>
      <c r="X246" s="4">
        <v>0</v>
      </c>
      <c r="Y246" s="4">
        <v>0</v>
      </c>
      <c r="Z246" s="4" t="s">
        <v>635</v>
      </c>
      <c r="AA246" s="4" t="s">
        <v>636</v>
      </c>
    </row>
    <row r="247" ht="30" customHeight="1" spans="1:27" x14ac:dyDescent="0.25">
      <c r="A247" s="4" t="s">
        <v>146</v>
      </c>
      <c r="B247" s="4" t="s">
        <v>94</v>
      </c>
      <c r="C247" s="4">
        <v>10000</v>
      </c>
      <c r="D247" s="4" t="s">
        <v>79</v>
      </c>
      <c r="E247" s="4">
        <v>5</v>
      </c>
      <c r="F247" s="4">
        <v>625</v>
      </c>
      <c r="G247" s="4">
        <v>36080</v>
      </c>
      <c r="H247" s="4">
        <v>17907</v>
      </c>
      <c r="I247" s="4">
        <v>34050</v>
      </c>
      <c r="J247" s="5">
        <v>0</v>
      </c>
      <c r="K247" s="6">
        <v>502.0424475</v>
      </c>
      <c r="L247" s="6">
        <v>503.3973788</v>
      </c>
      <c r="M247" s="6">
        <v>513.27540645</v>
      </c>
      <c r="N247" s="6">
        <v>5493.441742</v>
      </c>
      <c r="O247" s="6">
        <v>5495.2586707</v>
      </c>
      <c r="P247" s="6">
        <v>5504.88362022</v>
      </c>
      <c r="Q247" s="6">
        <v>10</v>
      </c>
      <c r="R247" s="6">
        <v>11</v>
      </c>
      <c r="S247" s="6">
        <v>11</v>
      </c>
      <c r="T247" s="6">
        <v>502.6010317841457</v>
      </c>
      <c r="U247" s="6">
        <v>5494.069596975674</v>
      </c>
      <c r="V247" s="6">
        <v>5502.13192393876</v>
      </c>
      <c r="W247" s="4">
        <v>0</v>
      </c>
      <c r="X247" s="4">
        <v>0</v>
      </c>
      <c r="Y247" s="4">
        <v>0</v>
      </c>
      <c r="Z247" s="4" t="s">
        <v>637</v>
      </c>
      <c r="AA247" s="4" t="s">
        <v>638</v>
      </c>
    </row>
    <row r="248" ht="30" customHeight="1" spans="1:27" x14ac:dyDescent="0.25">
      <c r="A248" s="4" t="s">
        <v>146</v>
      </c>
      <c r="B248" s="4" t="s">
        <v>94</v>
      </c>
      <c r="C248" s="4">
        <v>10000</v>
      </c>
      <c r="D248" s="4" t="s">
        <v>79</v>
      </c>
      <c r="E248" s="4">
        <v>6</v>
      </c>
      <c r="F248" s="4">
        <v>625</v>
      </c>
      <c r="G248" s="4">
        <v>36080</v>
      </c>
      <c r="H248" s="4">
        <v>17875</v>
      </c>
      <c r="I248" s="4">
        <v>34051</v>
      </c>
      <c r="J248" s="5">
        <v>0</v>
      </c>
      <c r="K248" s="6">
        <v>502.03621499999997</v>
      </c>
      <c r="L248" s="6">
        <v>503.36692819999996</v>
      </c>
      <c r="M248" s="6">
        <v>513.6031058</v>
      </c>
      <c r="N248" s="6">
        <v>5493.4339955</v>
      </c>
      <c r="O248" s="6">
        <v>5495.2303785</v>
      </c>
      <c r="P248" s="6">
        <v>5505.17689337</v>
      </c>
      <c r="Q248" s="6">
        <v>10</v>
      </c>
      <c r="R248" s="6">
        <v>11</v>
      </c>
      <c r="S248" s="6">
        <v>11</v>
      </c>
      <c r="T248" s="6">
        <v>502.5843983351397</v>
      </c>
      <c r="U248" s="6">
        <v>5494.036728641224</v>
      </c>
      <c r="V248" s="6">
        <v>5502.7647232137815</v>
      </c>
      <c r="W248" s="4">
        <v>0</v>
      </c>
      <c r="X248" s="4">
        <v>0</v>
      </c>
      <c r="Y248" s="4">
        <v>0</v>
      </c>
      <c r="Z248" s="4" t="s">
        <v>639</v>
      </c>
      <c r="AA248" s="4" t="s">
        <v>640</v>
      </c>
    </row>
    <row r="249" ht="30" customHeight="1" spans="1:27" x14ac:dyDescent="0.25">
      <c r="A249" s="4" t="s">
        <v>146</v>
      </c>
      <c r="B249" s="4" t="s">
        <v>94</v>
      </c>
      <c r="C249" s="4">
        <v>10000</v>
      </c>
      <c r="D249" s="4" t="s">
        <v>79</v>
      </c>
      <c r="E249" s="4">
        <v>7</v>
      </c>
      <c r="F249" s="4">
        <v>625</v>
      </c>
      <c r="G249" s="4">
        <v>36079</v>
      </c>
      <c r="H249" s="4">
        <v>18065</v>
      </c>
      <c r="I249" s="4">
        <v>34050</v>
      </c>
      <c r="J249" s="5">
        <v>0</v>
      </c>
      <c r="K249" s="6">
        <v>502.047585</v>
      </c>
      <c r="L249" s="6">
        <v>503.39707319999997</v>
      </c>
      <c r="M249" s="6">
        <v>513.4802362400001</v>
      </c>
      <c r="N249" s="6">
        <v>5493.447056</v>
      </c>
      <c r="O249" s="6">
        <v>5495.2700352</v>
      </c>
      <c r="P249" s="6">
        <v>5504.9402274799995</v>
      </c>
      <c r="Q249" s="6">
        <v>10</v>
      </c>
      <c r="R249" s="6">
        <v>11</v>
      </c>
      <c r="S249" s="6">
        <v>11</v>
      </c>
      <c r="T249" s="6">
        <v>502.6008266998587</v>
      </c>
      <c r="U249" s="6">
        <v>5494.0499720635125</v>
      </c>
      <c r="V249" s="6">
        <v>5502.192735569139</v>
      </c>
      <c r="W249" s="4">
        <v>0</v>
      </c>
      <c r="X249" s="4">
        <v>0</v>
      </c>
      <c r="Y249" s="4">
        <v>0</v>
      </c>
      <c r="Z249" s="4" t="s">
        <v>641</v>
      </c>
      <c r="AA249" s="4" t="s">
        <v>642</v>
      </c>
    </row>
    <row r="250" ht="30" customHeight="1" spans="1:27" x14ac:dyDescent="0.25">
      <c r="A250" s="4" t="s">
        <v>146</v>
      </c>
      <c r="B250" s="4" t="s">
        <v>94</v>
      </c>
      <c r="C250" s="4">
        <v>10000</v>
      </c>
      <c r="D250" s="4" t="s">
        <v>79</v>
      </c>
      <c r="E250" s="4">
        <v>8</v>
      </c>
      <c r="F250" s="4">
        <v>625</v>
      </c>
      <c r="G250" s="4">
        <v>36075</v>
      </c>
      <c r="H250" s="4">
        <v>18009</v>
      </c>
      <c r="I250" s="4">
        <v>34048</v>
      </c>
      <c r="J250" s="5">
        <v>0</v>
      </c>
      <c r="K250" s="6">
        <v>502.024516</v>
      </c>
      <c r="L250" s="6">
        <v>503.3848552</v>
      </c>
      <c r="M250" s="6">
        <v>515.0152385</v>
      </c>
      <c r="N250" s="6">
        <v>5493.437676</v>
      </c>
      <c r="O250" s="6">
        <v>5495.298709799999</v>
      </c>
      <c r="P250" s="6">
        <v>5505.56569072</v>
      </c>
      <c r="Q250" s="6">
        <v>10</v>
      </c>
      <c r="R250" s="6">
        <v>11</v>
      </c>
      <c r="S250" s="6">
        <v>11</v>
      </c>
      <c r="T250" s="6">
        <v>502.6233657688691</v>
      </c>
      <c r="U250" s="6">
        <v>5494.0667255883245</v>
      </c>
      <c r="V250" s="6">
        <v>5502.865742124085</v>
      </c>
      <c r="W250" s="4">
        <v>0</v>
      </c>
      <c r="X250" s="4">
        <v>0</v>
      </c>
      <c r="Y250" s="4">
        <v>0</v>
      </c>
      <c r="Z250" s="4" t="s">
        <v>643</v>
      </c>
      <c r="AA250" s="4" t="s">
        <v>644</v>
      </c>
    </row>
    <row r="251" ht="30" customHeight="1" spans="1:27" x14ac:dyDescent="0.25">
      <c r="A251" s="4" t="s">
        <v>146</v>
      </c>
      <c r="B251" s="4" t="s">
        <v>94</v>
      </c>
      <c r="C251" s="4">
        <v>10000</v>
      </c>
      <c r="D251" s="4" t="s">
        <v>79</v>
      </c>
      <c r="E251" s="4">
        <v>9</v>
      </c>
      <c r="F251" s="4">
        <v>625</v>
      </c>
      <c r="G251" s="4">
        <v>36080</v>
      </c>
      <c r="H251" s="4">
        <v>17905</v>
      </c>
      <c r="I251" s="4">
        <v>34052</v>
      </c>
      <c r="J251" s="5">
        <v>0</v>
      </c>
      <c r="K251" s="6">
        <v>502.038862</v>
      </c>
      <c r="L251" s="6">
        <v>503.26995719999996</v>
      </c>
      <c r="M251" s="6">
        <v>513.05542758</v>
      </c>
      <c r="N251" s="6">
        <v>5493.4382545</v>
      </c>
      <c r="O251" s="6">
        <v>5495.1692877</v>
      </c>
      <c r="P251" s="6">
        <v>5504.34037214</v>
      </c>
      <c r="Q251" s="6">
        <v>10</v>
      </c>
      <c r="R251" s="6">
        <v>11</v>
      </c>
      <c r="S251" s="6">
        <v>11</v>
      </c>
      <c r="T251" s="6">
        <v>502.5428657366982</v>
      </c>
      <c r="U251" s="6">
        <v>5493.992653925149</v>
      </c>
      <c r="V251" s="6">
        <v>5502.056753102502</v>
      </c>
      <c r="W251" s="4">
        <v>0</v>
      </c>
      <c r="X251" s="4">
        <v>0</v>
      </c>
      <c r="Y251" s="4">
        <v>0</v>
      </c>
      <c r="Z251" s="4" t="s">
        <v>645</v>
      </c>
      <c r="AA251" s="4" t="s">
        <v>646</v>
      </c>
    </row>
    <row r="252" ht="30" customHeight="1" spans="1:27" x14ac:dyDescent="0.25">
      <c r="A252" s="4" t="s">
        <v>146</v>
      </c>
      <c r="B252" s="4" t="s">
        <v>94</v>
      </c>
      <c r="C252" s="4">
        <v>10000</v>
      </c>
      <c r="D252" s="4" t="s">
        <v>79</v>
      </c>
      <c r="E252" s="4">
        <v>10</v>
      </c>
      <c r="F252" s="4">
        <v>625</v>
      </c>
      <c r="G252" s="4">
        <v>36084</v>
      </c>
      <c r="H252" s="4">
        <v>17870</v>
      </c>
      <c r="I252" s="4">
        <v>34052</v>
      </c>
      <c r="J252" s="5">
        <v>0</v>
      </c>
      <c r="K252" s="6">
        <v>502.0399635</v>
      </c>
      <c r="L252" s="6">
        <v>503.4078847</v>
      </c>
      <c r="M252" s="6">
        <v>513.93590753</v>
      </c>
      <c r="N252" s="6">
        <v>5493.431881</v>
      </c>
      <c r="O252" s="6">
        <v>5495.2798044</v>
      </c>
      <c r="P252" s="6">
        <v>5505.29116814</v>
      </c>
      <c r="Q252" s="6">
        <v>10</v>
      </c>
      <c r="R252" s="6">
        <v>11</v>
      </c>
      <c r="S252" s="6">
        <v>11</v>
      </c>
      <c r="T252" s="6">
        <v>502.59427564715986</v>
      </c>
      <c r="U252" s="6">
        <v>5494.0415341524895</v>
      </c>
      <c r="V252" s="6">
        <v>5502.069412186228</v>
      </c>
      <c r="W252" s="4">
        <v>0</v>
      </c>
      <c r="X252" s="4">
        <v>0</v>
      </c>
      <c r="Y252" s="4">
        <v>0</v>
      </c>
      <c r="Z252" s="4" t="s">
        <v>647</v>
      </c>
      <c r="AA252" s="4" t="s">
        <v>648</v>
      </c>
    </row>
    <row r="253" ht="30" customHeight="1" spans="1:27" x14ac:dyDescent="0.25">
      <c r="A253" s="4" t="s">
        <v>146</v>
      </c>
      <c r="B253" s="4" t="s">
        <v>94</v>
      </c>
      <c r="C253" s="4">
        <v>10000</v>
      </c>
      <c r="D253" s="4" t="s">
        <v>79</v>
      </c>
      <c r="E253" s="4">
        <v>11</v>
      </c>
      <c r="F253" s="4">
        <v>625</v>
      </c>
      <c r="G253" s="4">
        <v>36075</v>
      </c>
      <c r="H253" s="4">
        <v>18029</v>
      </c>
      <c r="I253" s="4">
        <v>34047</v>
      </c>
      <c r="J253" s="5">
        <v>0</v>
      </c>
      <c r="K253" s="6">
        <v>502.023459</v>
      </c>
      <c r="L253" s="6">
        <v>503.4452114</v>
      </c>
      <c r="M253" s="6">
        <v>513.5719816</v>
      </c>
      <c r="N253" s="6">
        <v>5493.434051</v>
      </c>
      <c r="O253" s="6">
        <v>5495.2858592</v>
      </c>
      <c r="P253" s="6">
        <v>5505.34077498</v>
      </c>
      <c r="Q253" s="6">
        <v>10</v>
      </c>
      <c r="R253" s="6">
        <v>11</v>
      </c>
      <c r="S253" s="6">
        <v>11</v>
      </c>
      <c r="T253" s="6">
        <v>502.5884583749978</v>
      </c>
      <c r="U253" s="6">
        <v>5494.057451384056</v>
      </c>
      <c r="V253" s="6">
        <v>5502.854482286764</v>
      </c>
      <c r="W253" s="4">
        <v>0</v>
      </c>
      <c r="X253" s="4">
        <v>0</v>
      </c>
      <c r="Y253" s="4">
        <v>0</v>
      </c>
      <c r="Z253" s="4" t="s">
        <v>649</v>
      </c>
      <c r="AA253" s="4" t="s">
        <v>650</v>
      </c>
    </row>
    <row r="254" ht="30" customHeight="1" spans="1:27" x14ac:dyDescent="0.25">
      <c r="A254" s="4" t="s">
        <v>146</v>
      </c>
      <c r="B254" s="4" t="s">
        <v>94</v>
      </c>
      <c r="C254" s="4">
        <v>10000</v>
      </c>
      <c r="D254" s="4" t="s">
        <v>79</v>
      </c>
      <c r="E254" s="4">
        <v>12</v>
      </c>
      <c r="F254" s="4">
        <v>625</v>
      </c>
      <c r="G254" s="4">
        <v>36075</v>
      </c>
      <c r="H254" s="4">
        <v>18148</v>
      </c>
      <c r="I254" s="4">
        <v>34043</v>
      </c>
      <c r="J254" s="5">
        <v>0</v>
      </c>
      <c r="K254" s="6">
        <v>502.030492</v>
      </c>
      <c r="L254" s="6">
        <v>503.4281684</v>
      </c>
      <c r="M254" s="6">
        <v>515.17672168</v>
      </c>
      <c r="N254" s="6">
        <v>5493.461709</v>
      </c>
      <c r="O254" s="6">
        <v>5495.4208914</v>
      </c>
      <c r="P254" s="6">
        <v>5506.100084860001</v>
      </c>
      <c r="Q254" s="6">
        <v>10</v>
      </c>
      <c r="R254" s="6">
        <v>11</v>
      </c>
      <c r="S254" s="6">
        <v>11</v>
      </c>
      <c r="T254" s="6">
        <v>502.6198516863476</v>
      </c>
      <c r="U254" s="6">
        <v>5494.095915603842</v>
      </c>
      <c r="V254" s="6">
        <v>5502.979881214738</v>
      </c>
      <c r="W254" s="4">
        <v>0</v>
      </c>
      <c r="X254" s="4">
        <v>0</v>
      </c>
      <c r="Y254" s="4">
        <v>0</v>
      </c>
      <c r="Z254" s="4" t="s">
        <v>651</v>
      </c>
      <c r="AA254" s="4" t="s">
        <v>652</v>
      </c>
    </row>
    <row r="255" ht="30" customHeight="1" spans="1:27" x14ac:dyDescent="0.25">
      <c r="A255" s="4" t="s">
        <v>146</v>
      </c>
      <c r="B255" s="4" t="s">
        <v>94</v>
      </c>
      <c r="C255" s="4">
        <v>10000</v>
      </c>
      <c r="D255" s="4" t="s">
        <v>79</v>
      </c>
      <c r="E255" s="4">
        <v>13</v>
      </c>
      <c r="F255" s="4">
        <v>625</v>
      </c>
      <c r="G255" s="4">
        <v>36083</v>
      </c>
      <c r="H255" s="4">
        <v>18062</v>
      </c>
      <c r="I255" s="4">
        <v>34051</v>
      </c>
      <c r="J255" s="5">
        <v>0</v>
      </c>
      <c r="K255" s="6">
        <v>502.050766</v>
      </c>
      <c r="L255" s="6">
        <v>503.43756940000003</v>
      </c>
      <c r="M255" s="6">
        <v>514.3905867000001</v>
      </c>
      <c r="N255" s="6">
        <v>5493.454628</v>
      </c>
      <c r="O255" s="6">
        <v>5495.297553400001</v>
      </c>
      <c r="P255" s="6">
        <v>5505.53956574</v>
      </c>
      <c r="Q255" s="6">
        <v>10</v>
      </c>
      <c r="R255" s="6">
        <v>11</v>
      </c>
      <c r="S255" s="6">
        <v>11</v>
      </c>
      <c r="T255" s="6">
        <v>502.6239827837477</v>
      </c>
      <c r="U255" s="6">
        <v>5494.075493123819</v>
      </c>
      <c r="V255" s="6">
        <v>5502.2649963937</v>
      </c>
      <c r="W255" s="4">
        <v>0</v>
      </c>
      <c r="X255" s="4">
        <v>0</v>
      </c>
      <c r="Y255" s="4">
        <v>0</v>
      </c>
      <c r="Z255" s="4" t="s">
        <v>653</v>
      </c>
      <c r="AA255" s="4" t="s">
        <v>654</v>
      </c>
    </row>
    <row r="256" ht="30" customHeight="1" spans="1:27" x14ac:dyDescent="0.25">
      <c r="A256" s="4" t="s">
        <v>146</v>
      </c>
      <c r="B256" s="4" t="s">
        <v>94</v>
      </c>
      <c r="C256" s="4">
        <v>10000</v>
      </c>
      <c r="D256" s="4" t="s">
        <v>79</v>
      </c>
      <c r="E256" s="4">
        <v>14</v>
      </c>
      <c r="F256" s="4">
        <v>625</v>
      </c>
      <c r="G256" s="4">
        <v>36085</v>
      </c>
      <c r="H256" s="4">
        <v>18078</v>
      </c>
      <c r="I256" s="4">
        <v>34056</v>
      </c>
      <c r="J256" s="5">
        <v>0</v>
      </c>
      <c r="K256" s="6">
        <v>502.044955</v>
      </c>
      <c r="L256" s="6">
        <v>503.45407420000004</v>
      </c>
      <c r="M256" s="6">
        <v>514.4928002</v>
      </c>
      <c r="N256" s="6">
        <v>5493.453271</v>
      </c>
      <c r="O256" s="6">
        <v>5495.302276</v>
      </c>
      <c r="P256" s="6">
        <v>5505.5574086</v>
      </c>
      <c r="Q256" s="6">
        <v>10</v>
      </c>
      <c r="R256" s="6">
        <v>11</v>
      </c>
      <c r="S256" s="6">
        <v>11</v>
      </c>
      <c r="T256" s="6">
        <v>502.61394970292446</v>
      </c>
      <c r="U256" s="6">
        <v>5494.063494709149</v>
      </c>
      <c r="V256" s="6">
        <v>5502.267712577366</v>
      </c>
      <c r="W256" s="4">
        <v>0</v>
      </c>
      <c r="X256" s="4">
        <v>0</v>
      </c>
      <c r="Y256" s="4">
        <v>0</v>
      </c>
      <c r="Z256" s="4" t="s">
        <v>655</v>
      </c>
      <c r="AA256" s="4" t="s">
        <v>656</v>
      </c>
    </row>
    <row r="257" ht="30" customHeight="1" spans="1:27" x14ac:dyDescent="0.25">
      <c r="A257" s="4" t="s">
        <v>146</v>
      </c>
      <c r="B257" s="4" t="s">
        <v>94</v>
      </c>
      <c r="C257" s="4">
        <v>10000</v>
      </c>
      <c r="D257" s="4" t="s">
        <v>79</v>
      </c>
      <c r="E257" s="4">
        <v>15</v>
      </c>
      <c r="F257" s="4">
        <v>625</v>
      </c>
      <c r="G257" s="4">
        <v>36079</v>
      </c>
      <c r="H257" s="4">
        <v>17947</v>
      </c>
      <c r="I257" s="4">
        <v>34048</v>
      </c>
      <c r="J257" s="5">
        <v>0</v>
      </c>
      <c r="K257" s="6">
        <v>502.02538</v>
      </c>
      <c r="L257" s="6">
        <v>503.28840679999996</v>
      </c>
      <c r="M257" s="6">
        <v>513.96120842</v>
      </c>
      <c r="N257" s="6">
        <v>5493.421677</v>
      </c>
      <c r="O257" s="6">
        <v>5495.1974834</v>
      </c>
      <c r="P257" s="6">
        <v>5504.7791936</v>
      </c>
      <c r="Q257" s="6">
        <v>10</v>
      </c>
      <c r="R257" s="6">
        <v>11</v>
      </c>
      <c r="S257" s="6">
        <v>11</v>
      </c>
      <c r="T257" s="6">
        <v>502.5492824061087</v>
      </c>
      <c r="U257" s="6">
        <v>5493.996049708812</v>
      </c>
      <c r="V257" s="6">
        <v>5502.674073359326</v>
      </c>
      <c r="W257" s="4">
        <v>0</v>
      </c>
      <c r="X257" s="4">
        <v>0</v>
      </c>
      <c r="Y257" s="4">
        <v>0</v>
      </c>
      <c r="Z257" s="4" t="s">
        <v>657</v>
      </c>
      <c r="AA257" s="4" t="s">
        <v>658</v>
      </c>
    </row>
    <row r="258" ht="30" customHeight="1" spans="1:27" x14ac:dyDescent="0.25">
      <c r="A258" s="4" t="s">
        <v>146</v>
      </c>
      <c r="B258" s="4" t="s">
        <v>94</v>
      </c>
      <c r="C258" s="4">
        <v>15000</v>
      </c>
      <c r="D258" s="4" t="s">
        <v>79</v>
      </c>
      <c r="E258" s="4">
        <v>0</v>
      </c>
      <c r="F258" s="4">
        <v>938</v>
      </c>
      <c r="G258" s="4">
        <v>53846</v>
      </c>
      <c r="H258" s="4">
        <v>26865</v>
      </c>
      <c r="I258" s="4">
        <v>50807</v>
      </c>
      <c r="J258" s="5">
        <v>0</v>
      </c>
      <c r="K258" s="6">
        <v>518.3295655</v>
      </c>
      <c r="L258" s="6">
        <v>535.951231</v>
      </c>
      <c r="M258" s="6">
        <v>583.8136753500002</v>
      </c>
      <c r="N258" s="6">
        <v>5517.70075</v>
      </c>
      <c r="O258" s="6">
        <v>5558.074455</v>
      </c>
      <c r="P258" s="6">
        <v>5695.248441</v>
      </c>
      <c r="Q258" s="6">
        <v>10</v>
      </c>
      <c r="R258" s="6">
        <v>11</v>
      </c>
      <c r="S258" s="6">
        <v>11</v>
      </c>
      <c r="T258" s="6">
        <v>521.31101660827</v>
      </c>
      <c r="U258" s="6">
        <v>5527.847066936231</v>
      </c>
      <c r="V258" s="6">
        <v>5536.956722540385</v>
      </c>
      <c r="W258" s="4">
        <v>0</v>
      </c>
      <c r="X258" s="4">
        <v>0</v>
      </c>
      <c r="Y258" s="4">
        <v>0</v>
      </c>
      <c r="Z258" s="4" t="s">
        <v>659</v>
      </c>
      <c r="AA258" s="4" t="s">
        <v>660</v>
      </c>
    </row>
    <row r="259" ht="30" customHeight="1" spans="1:27" x14ac:dyDescent="0.25">
      <c r="A259" s="4" t="s">
        <v>146</v>
      </c>
      <c r="B259" s="4" t="s">
        <v>94</v>
      </c>
      <c r="C259" s="4">
        <v>15000</v>
      </c>
      <c r="D259" s="4" t="s">
        <v>79</v>
      </c>
      <c r="E259" s="4">
        <v>1</v>
      </c>
      <c r="F259" s="4">
        <v>938</v>
      </c>
      <c r="G259" s="4">
        <v>53843</v>
      </c>
      <c r="H259" s="4">
        <v>26975</v>
      </c>
      <c r="I259" s="4">
        <v>50800</v>
      </c>
      <c r="J259" s="5">
        <v>0</v>
      </c>
      <c r="K259" s="6">
        <v>518.494524</v>
      </c>
      <c r="L259" s="6">
        <v>536.4087202</v>
      </c>
      <c r="M259" s="6">
        <v>586.4043874</v>
      </c>
      <c r="N259" s="6">
        <v>5517.972214</v>
      </c>
      <c r="O259" s="6">
        <v>5560.1751444</v>
      </c>
      <c r="P259" s="6">
        <v>5708.92958102</v>
      </c>
      <c r="Q259" s="6">
        <v>10</v>
      </c>
      <c r="R259" s="6">
        <v>11</v>
      </c>
      <c r="S259" s="6">
        <v>11</v>
      </c>
      <c r="T259" s="6">
        <v>521.6695431800364</v>
      </c>
      <c r="U259" s="6">
        <v>5528.6888504692515</v>
      </c>
      <c r="V259" s="6">
        <v>5537.968036039223</v>
      </c>
      <c r="W259" s="4">
        <v>0</v>
      </c>
      <c r="X259" s="4">
        <v>0</v>
      </c>
      <c r="Y259" s="4">
        <v>0</v>
      </c>
      <c r="Z259" s="4" t="s">
        <v>661</v>
      </c>
      <c r="AA259" s="4" t="s">
        <v>662</v>
      </c>
    </row>
    <row r="260" ht="30" customHeight="1" spans="1:27" x14ac:dyDescent="0.25">
      <c r="A260" s="4" t="s">
        <v>146</v>
      </c>
      <c r="B260" s="4" t="s">
        <v>94</v>
      </c>
      <c r="C260" s="4">
        <v>15000</v>
      </c>
      <c r="D260" s="4" t="s">
        <v>79</v>
      </c>
      <c r="E260" s="4">
        <v>2</v>
      </c>
      <c r="F260" s="4">
        <v>938</v>
      </c>
      <c r="G260" s="4">
        <v>53840</v>
      </c>
      <c r="H260" s="4">
        <v>27037</v>
      </c>
      <c r="I260" s="4">
        <v>50796</v>
      </c>
      <c r="J260" s="5">
        <v>0</v>
      </c>
      <c r="K260" s="6">
        <v>518.5014125</v>
      </c>
      <c r="L260" s="6">
        <v>536.3701242</v>
      </c>
      <c r="M260" s="6">
        <v>586.0691919300001</v>
      </c>
      <c r="N260" s="6">
        <v>5517.6908</v>
      </c>
      <c r="O260" s="6">
        <v>5558.988670799999</v>
      </c>
      <c r="P260" s="6">
        <v>5695.8307045500005</v>
      </c>
      <c r="Q260" s="6">
        <v>10</v>
      </c>
      <c r="R260" s="6">
        <v>11</v>
      </c>
      <c r="S260" s="6">
        <v>11</v>
      </c>
      <c r="T260" s="6">
        <v>521.4883327840803</v>
      </c>
      <c r="U260" s="6">
        <v>5528.025978950216</v>
      </c>
      <c r="V260" s="6">
        <v>5536.732210529325</v>
      </c>
      <c r="W260" s="4">
        <v>0</v>
      </c>
      <c r="X260" s="4">
        <v>0</v>
      </c>
      <c r="Y260" s="4">
        <v>0</v>
      </c>
      <c r="Z260" s="4" t="s">
        <v>663</v>
      </c>
      <c r="AA260" s="4" t="s">
        <v>664</v>
      </c>
    </row>
    <row r="261" ht="30" customHeight="1" spans="1:27" x14ac:dyDescent="0.25">
      <c r="A261" s="4" t="s">
        <v>146</v>
      </c>
      <c r="B261" s="4" t="s">
        <v>94</v>
      </c>
      <c r="C261" s="4">
        <v>15000</v>
      </c>
      <c r="D261" s="4" t="s">
        <v>79</v>
      </c>
      <c r="E261" s="4">
        <v>3</v>
      </c>
      <c r="F261" s="4">
        <v>938</v>
      </c>
      <c r="G261" s="4">
        <v>53850</v>
      </c>
      <c r="H261" s="4">
        <v>27145</v>
      </c>
      <c r="I261" s="4">
        <v>50809</v>
      </c>
      <c r="J261" s="5">
        <v>0</v>
      </c>
      <c r="K261" s="6">
        <v>518.5145944999999</v>
      </c>
      <c r="L261" s="6">
        <v>536.1454874</v>
      </c>
      <c r="M261" s="6">
        <v>584.5654284700001</v>
      </c>
      <c r="N261" s="6">
        <v>5517.928533</v>
      </c>
      <c r="O261" s="6">
        <v>5558.6230587</v>
      </c>
      <c r="P261" s="6">
        <v>5705.294669150001</v>
      </c>
      <c r="Q261" s="6">
        <v>10</v>
      </c>
      <c r="R261" s="6">
        <v>11</v>
      </c>
      <c r="S261" s="6">
        <v>11</v>
      </c>
      <c r="T261" s="6">
        <v>521.5145183706213</v>
      </c>
      <c r="U261" s="6">
        <v>5528.221885648254</v>
      </c>
      <c r="V261" s="6">
        <v>5536.970030368033</v>
      </c>
      <c r="W261" s="4">
        <v>0</v>
      </c>
      <c r="X261" s="4">
        <v>0</v>
      </c>
      <c r="Y261" s="4">
        <v>0</v>
      </c>
      <c r="Z261" s="4" t="s">
        <v>665</v>
      </c>
      <c r="AA261" s="4" t="s">
        <v>666</v>
      </c>
    </row>
    <row r="262" ht="30" customHeight="1" spans="1:27" x14ac:dyDescent="0.25">
      <c r="A262" s="4" t="s">
        <v>146</v>
      </c>
      <c r="B262" s="4" t="s">
        <v>94</v>
      </c>
      <c r="C262" s="4">
        <v>15000</v>
      </c>
      <c r="D262" s="4" t="s">
        <v>79</v>
      </c>
      <c r="E262" s="4">
        <v>4</v>
      </c>
      <c r="F262" s="4">
        <v>938</v>
      </c>
      <c r="G262" s="4">
        <v>53847</v>
      </c>
      <c r="H262" s="4">
        <v>26790</v>
      </c>
      <c r="I262" s="4">
        <v>50809</v>
      </c>
      <c r="J262" s="5">
        <v>0</v>
      </c>
      <c r="K262" s="6">
        <v>518.447793</v>
      </c>
      <c r="L262" s="6">
        <v>536.1983246</v>
      </c>
      <c r="M262" s="6">
        <v>589.4900701800003</v>
      </c>
      <c r="N262" s="6">
        <v>5517.726678</v>
      </c>
      <c r="O262" s="6">
        <v>5558.7586736</v>
      </c>
      <c r="P262" s="6">
        <v>5697.29143238</v>
      </c>
      <c r="Q262" s="6">
        <v>10</v>
      </c>
      <c r="R262" s="6">
        <v>11</v>
      </c>
      <c r="S262" s="6">
        <v>11</v>
      </c>
      <c r="T262" s="6">
        <v>521.4246573353424</v>
      </c>
      <c r="U262" s="6">
        <v>5527.960574867599</v>
      </c>
      <c r="V262" s="6">
        <v>5536.877208067236</v>
      </c>
      <c r="W262" s="4">
        <v>0</v>
      </c>
      <c r="X262" s="4">
        <v>0</v>
      </c>
      <c r="Y262" s="4">
        <v>0</v>
      </c>
      <c r="Z262" s="4" t="s">
        <v>667</v>
      </c>
      <c r="AA262" s="4" t="s">
        <v>668</v>
      </c>
    </row>
    <row r="263" ht="30" customHeight="1" spans="1:27" x14ac:dyDescent="0.25">
      <c r="A263" s="4" t="s">
        <v>146</v>
      </c>
      <c r="B263" s="4" t="s">
        <v>94</v>
      </c>
      <c r="C263" s="4">
        <v>15000</v>
      </c>
      <c r="D263" s="4" t="s">
        <v>79</v>
      </c>
      <c r="E263" s="4">
        <v>5</v>
      </c>
      <c r="F263" s="4">
        <v>938</v>
      </c>
      <c r="G263" s="4">
        <v>53854</v>
      </c>
      <c r="H263" s="4">
        <v>26991</v>
      </c>
      <c r="I263" s="4">
        <v>50815</v>
      </c>
      <c r="J263" s="5">
        <v>0</v>
      </c>
      <c r="K263" s="6">
        <v>518.4743065</v>
      </c>
      <c r="L263" s="6">
        <v>535.7588317</v>
      </c>
      <c r="M263" s="6">
        <v>577.07769927</v>
      </c>
      <c r="N263" s="6">
        <v>5517.7237065</v>
      </c>
      <c r="O263" s="6">
        <v>5557.3537174</v>
      </c>
      <c r="P263" s="6">
        <v>5698.10752356</v>
      </c>
      <c r="Q263" s="6">
        <v>10</v>
      </c>
      <c r="R263" s="6">
        <v>11</v>
      </c>
      <c r="S263" s="6">
        <v>11</v>
      </c>
      <c r="T263" s="6">
        <v>521.0692366055109</v>
      </c>
      <c r="U263" s="6">
        <v>5527.717493128483</v>
      </c>
      <c r="V263" s="6">
        <v>5536.15481105498</v>
      </c>
      <c r="W263" s="4">
        <v>0</v>
      </c>
      <c r="X263" s="4">
        <v>0</v>
      </c>
      <c r="Y263" s="4">
        <v>0</v>
      </c>
      <c r="Z263" s="4" t="s">
        <v>669</v>
      </c>
      <c r="AA263" s="4" t="s">
        <v>670</v>
      </c>
    </row>
    <row r="264" ht="30" customHeight="1" spans="1:27" x14ac:dyDescent="0.25">
      <c r="A264" s="4" t="s">
        <v>146</v>
      </c>
      <c r="B264" s="4" t="s">
        <v>94</v>
      </c>
      <c r="C264" s="4">
        <v>15000</v>
      </c>
      <c r="D264" s="4" t="s">
        <v>79</v>
      </c>
      <c r="E264" s="4">
        <v>6</v>
      </c>
      <c r="F264" s="4">
        <v>938</v>
      </c>
      <c r="G264" s="4">
        <v>53840</v>
      </c>
      <c r="H264" s="4">
        <v>26932</v>
      </c>
      <c r="I264" s="4">
        <v>50801</v>
      </c>
      <c r="J264" s="5">
        <v>0</v>
      </c>
      <c r="K264" s="6">
        <v>518.498607</v>
      </c>
      <c r="L264" s="6">
        <v>536.1854040999999</v>
      </c>
      <c r="M264" s="6">
        <v>569.26289537</v>
      </c>
      <c r="N264" s="6">
        <v>5517.826955</v>
      </c>
      <c r="O264" s="6">
        <v>5557.6114659</v>
      </c>
      <c r="P264" s="6">
        <v>5694.70291017</v>
      </c>
      <c r="Q264" s="6">
        <v>10</v>
      </c>
      <c r="R264" s="6">
        <v>11</v>
      </c>
      <c r="S264" s="6">
        <v>11</v>
      </c>
      <c r="T264" s="6">
        <v>521.0064942528288</v>
      </c>
      <c r="U264" s="6">
        <v>5527.756236309799</v>
      </c>
      <c r="V264" s="6">
        <v>5536.640566638826</v>
      </c>
      <c r="W264" s="4">
        <v>0</v>
      </c>
      <c r="X264" s="4">
        <v>0</v>
      </c>
      <c r="Y264" s="4">
        <v>0</v>
      </c>
      <c r="Z264" s="4" t="s">
        <v>671</v>
      </c>
      <c r="AA264" s="4" t="s">
        <v>672</v>
      </c>
    </row>
    <row r="265" ht="30" customHeight="1" spans="1:27" x14ac:dyDescent="0.25">
      <c r="A265" s="4" t="s">
        <v>146</v>
      </c>
      <c r="B265" s="4" t="s">
        <v>94</v>
      </c>
      <c r="C265" s="4">
        <v>15000</v>
      </c>
      <c r="D265" s="4" t="s">
        <v>79</v>
      </c>
      <c r="E265" s="4">
        <v>7</v>
      </c>
      <c r="F265" s="4">
        <v>938</v>
      </c>
      <c r="G265" s="4">
        <v>53850</v>
      </c>
      <c r="H265" s="4">
        <v>26996</v>
      </c>
      <c r="I265" s="4">
        <v>50809</v>
      </c>
      <c r="J265" s="5">
        <v>0</v>
      </c>
      <c r="K265" s="6">
        <v>518.4220485000001</v>
      </c>
      <c r="L265" s="6">
        <v>536.0576559</v>
      </c>
      <c r="M265" s="6">
        <v>582.6954756000001</v>
      </c>
      <c r="N265" s="6">
        <v>5517.534759</v>
      </c>
      <c r="O265" s="6">
        <v>5557.1382155</v>
      </c>
      <c r="P265" s="6">
        <v>5695.60268254</v>
      </c>
      <c r="Q265" s="6">
        <v>10</v>
      </c>
      <c r="R265" s="6">
        <v>11</v>
      </c>
      <c r="S265" s="6">
        <v>11</v>
      </c>
      <c r="T265" s="6">
        <v>521.2990871511065</v>
      </c>
      <c r="U265" s="6">
        <v>5527.665023853739</v>
      </c>
      <c r="V265" s="6">
        <v>5536.105287106589</v>
      </c>
      <c r="W265" s="4">
        <v>0</v>
      </c>
      <c r="X265" s="4">
        <v>0</v>
      </c>
      <c r="Y265" s="4">
        <v>0</v>
      </c>
      <c r="Z265" s="4" t="s">
        <v>673</v>
      </c>
      <c r="AA265" s="4" t="s">
        <v>674</v>
      </c>
    </row>
    <row r="266" ht="30" customHeight="1" spans="1:27" x14ac:dyDescent="0.25">
      <c r="A266" s="4" t="s">
        <v>146</v>
      </c>
      <c r="B266" s="4" t="s">
        <v>94</v>
      </c>
      <c r="C266" s="4">
        <v>15000</v>
      </c>
      <c r="D266" s="4" t="s">
        <v>79</v>
      </c>
      <c r="E266" s="4">
        <v>8</v>
      </c>
      <c r="F266" s="4">
        <v>937</v>
      </c>
      <c r="G266" s="4">
        <v>53782</v>
      </c>
      <c r="H266" s="4">
        <v>26908</v>
      </c>
      <c r="I266" s="4">
        <v>50746</v>
      </c>
      <c r="J266" s="5">
        <v>0</v>
      </c>
      <c r="K266" s="6">
        <v>518.435652</v>
      </c>
      <c r="L266" s="6">
        <v>536.0988443</v>
      </c>
      <c r="M266" s="6">
        <v>577.6474731400001</v>
      </c>
      <c r="N266" s="6">
        <v>5517.7242115</v>
      </c>
      <c r="O266" s="6">
        <v>5558.1519088</v>
      </c>
      <c r="P266" s="6">
        <v>5693.6956525900005</v>
      </c>
      <c r="Q266" s="6">
        <v>10</v>
      </c>
      <c r="R266" s="6">
        <v>11</v>
      </c>
      <c r="S266" s="6">
        <v>11</v>
      </c>
      <c r="T266" s="6">
        <v>521.1440392982233</v>
      </c>
      <c r="U266" s="6">
        <v>5527.789737403241</v>
      </c>
      <c r="V266" s="6">
        <v>5536.189630170373</v>
      </c>
      <c r="W266" s="4">
        <v>0</v>
      </c>
      <c r="X266" s="4">
        <v>0</v>
      </c>
      <c r="Y266" s="4">
        <v>0</v>
      </c>
      <c r="Z266" s="4" t="s">
        <v>675</v>
      </c>
      <c r="AA266" s="4" t="s">
        <v>676</v>
      </c>
    </row>
    <row r="267" ht="30" customHeight="1" spans="1:27" x14ac:dyDescent="0.25">
      <c r="A267" s="4" t="s">
        <v>146</v>
      </c>
      <c r="B267" s="4" t="s">
        <v>94</v>
      </c>
      <c r="C267" s="4">
        <v>15000</v>
      </c>
      <c r="D267" s="4" t="s">
        <v>79</v>
      </c>
      <c r="E267" s="4">
        <v>9</v>
      </c>
      <c r="F267" s="4">
        <v>937</v>
      </c>
      <c r="G267" s="4">
        <v>53781</v>
      </c>
      <c r="H267" s="4">
        <v>26833</v>
      </c>
      <c r="I267" s="4">
        <v>50744</v>
      </c>
      <c r="J267" s="5">
        <v>0</v>
      </c>
      <c r="K267" s="6">
        <v>518.439458</v>
      </c>
      <c r="L267" s="6">
        <v>536.2232</v>
      </c>
      <c r="M267" s="6">
        <v>589.5988241999999</v>
      </c>
      <c r="N267" s="6">
        <v>5517.909968</v>
      </c>
      <c r="O267" s="6">
        <v>5558.981574</v>
      </c>
      <c r="P267" s="6">
        <v>5698.378719599999</v>
      </c>
      <c r="Q267" s="6">
        <v>10</v>
      </c>
      <c r="R267" s="6">
        <v>11</v>
      </c>
      <c r="S267" s="6">
        <v>11</v>
      </c>
      <c r="T267" s="6">
        <v>521.4100197926841</v>
      </c>
      <c r="U267" s="6">
        <v>5528.2266979273845</v>
      </c>
      <c r="V267" s="6">
        <v>5537.216642800092</v>
      </c>
      <c r="W267" s="4">
        <v>0</v>
      </c>
      <c r="X267" s="4">
        <v>0</v>
      </c>
      <c r="Y267" s="4">
        <v>0</v>
      </c>
      <c r="Z267" s="4" t="s">
        <v>677</v>
      </c>
      <c r="AA267" s="4" t="s">
        <v>678</v>
      </c>
    </row>
    <row r="268" ht="30" customHeight="1" spans="1:27" x14ac:dyDescent="0.25">
      <c r="A268" s="4" t="s">
        <v>146</v>
      </c>
      <c r="B268" s="4" t="s">
        <v>94</v>
      </c>
      <c r="C268" s="4">
        <v>15000</v>
      </c>
      <c r="D268" s="4" t="s">
        <v>79</v>
      </c>
      <c r="E268" s="4">
        <v>10</v>
      </c>
      <c r="F268" s="4">
        <v>937</v>
      </c>
      <c r="G268" s="4">
        <v>53781</v>
      </c>
      <c r="H268" s="4">
        <v>26938</v>
      </c>
      <c r="I268" s="4">
        <v>50748</v>
      </c>
      <c r="J268" s="5">
        <v>0</v>
      </c>
      <c r="K268" s="6">
        <v>518.397734</v>
      </c>
      <c r="L268" s="6">
        <v>535.947955</v>
      </c>
      <c r="M268" s="6">
        <v>579.5641839999998</v>
      </c>
      <c r="N268" s="6">
        <v>5517.69893</v>
      </c>
      <c r="O268" s="6">
        <v>5558.512576</v>
      </c>
      <c r="P268" s="6">
        <v>5704.549644199999</v>
      </c>
      <c r="Q268" s="6">
        <v>10</v>
      </c>
      <c r="R268" s="6">
        <v>11</v>
      </c>
      <c r="S268" s="6">
        <v>11</v>
      </c>
      <c r="T268" s="6">
        <v>521.3534637608241</v>
      </c>
      <c r="U268" s="6">
        <v>5528.150356782178</v>
      </c>
      <c r="V268" s="6">
        <v>5536.728445548342</v>
      </c>
      <c r="W268" s="4">
        <v>0</v>
      </c>
      <c r="X268" s="4">
        <v>0</v>
      </c>
      <c r="Y268" s="4">
        <v>0</v>
      </c>
      <c r="Z268" s="4" t="s">
        <v>679</v>
      </c>
      <c r="AA268" s="4" t="s">
        <v>680</v>
      </c>
    </row>
    <row r="269" ht="30" customHeight="1" spans="1:27" x14ac:dyDescent="0.25">
      <c r="A269" s="4" t="s">
        <v>146</v>
      </c>
      <c r="B269" s="4" t="s">
        <v>94</v>
      </c>
      <c r="C269" s="4">
        <v>15000</v>
      </c>
      <c r="D269" s="4" t="s">
        <v>79</v>
      </c>
      <c r="E269" s="4">
        <v>11</v>
      </c>
      <c r="F269" s="4">
        <v>937</v>
      </c>
      <c r="G269" s="4">
        <v>53778</v>
      </c>
      <c r="H269" s="4">
        <v>26880</v>
      </c>
      <c r="I269" s="4">
        <v>50742</v>
      </c>
      <c r="J269" s="5">
        <v>0</v>
      </c>
      <c r="K269" s="6">
        <v>518.5143315</v>
      </c>
      <c r="L269" s="6">
        <v>535.7580163</v>
      </c>
      <c r="M269" s="6">
        <v>572.5282301099999</v>
      </c>
      <c r="N269" s="6">
        <v>5517.6534725</v>
      </c>
      <c r="O269" s="6">
        <v>5557.0636621</v>
      </c>
      <c r="P269" s="6">
        <v>5698.8334196999995</v>
      </c>
      <c r="Q269" s="6">
        <v>10</v>
      </c>
      <c r="R269" s="6">
        <v>11</v>
      </c>
      <c r="S269" s="6">
        <v>11</v>
      </c>
      <c r="T269" s="6">
        <v>521.0271384499752</v>
      </c>
      <c r="U269" s="6">
        <v>5527.689257520678</v>
      </c>
      <c r="V269" s="6">
        <v>5535.983090489424</v>
      </c>
      <c r="W269" s="4">
        <v>0</v>
      </c>
      <c r="X269" s="4">
        <v>0</v>
      </c>
      <c r="Y269" s="4">
        <v>0</v>
      </c>
      <c r="Z269" s="4" t="s">
        <v>681</v>
      </c>
      <c r="AA269" s="4" t="s">
        <v>682</v>
      </c>
    </row>
    <row r="270" ht="30" customHeight="1" spans="1:27" x14ac:dyDescent="0.25">
      <c r="A270" s="4" t="s">
        <v>146</v>
      </c>
      <c r="B270" s="4" t="s">
        <v>94</v>
      </c>
      <c r="C270" s="4">
        <v>15000</v>
      </c>
      <c r="D270" s="4" t="s">
        <v>79</v>
      </c>
      <c r="E270" s="4">
        <v>12</v>
      </c>
      <c r="F270" s="4">
        <v>937</v>
      </c>
      <c r="G270" s="4">
        <v>53765</v>
      </c>
      <c r="H270" s="4">
        <v>26726</v>
      </c>
      <c r="I270" s="4">
        <v>50728</v>
      </c>
      <c r="J270" s="5">
        <v>0</v>
      </c>
      <c r="K270" s="6">
        <v>518.418928</v>
      </c>
      <c r="L270" s="6">
        <v>536.0972662</v>
      </c>
      <c r="M270" s="6">
        <v>575.91619292</v>
      </c>
      <c r="N270" s="6">
        <v>5517.81243</v>
      </c>
      <c r="O270" s="6">
        <v>5558.5766926</v>
      </c>
      <c r="P270" s="6">
        <v>5707.94242756</v>
      </c>
      <c r="Q270" s="6">
        <v>10</v>
      </c>
      <c r="R270" s="6">
        <v>11</v>
      </c>
      <c r="S270" s="6">
        <v>11</v>
      </c>
      <c r="T270" s="6">
        <v>521.2336824025274</v>
      </c>
      <c r="U270" s="6">
        <v>5528.234336181966</v>
      </c>
      <c r="V270" s="6">
        <v>5537.1843345799025</v>
      </c>
      <c r="W270" s="4">
        <v>0</v>
      </c>
      <c r="X270" s="4">
        <v>0</v>
      </c>
      <c r="Y270" s="4">
        <v>0</v>
      </c>
      <c r="Z270" s="4" t="s">
        <v>683</v>
      </c>
      <c r="AA270" s="4" t="s">
        <v>684</v>
      </c>
    </row>
    <row r="271" ht="30" customHeight="1" spans="1:27" x14ac:dyDescent="0.25">
      <c r="A271" s="4" t="s">
        <v>146</v>
      </c>
      <c r="B271" s="4" t="s">
        <v>94</v>
      </c>
      <c r="C271" s="4">
        <v>15000</v>
      </c>
      <c r="D271" s="4" t="s">
        <v>79</v>
      </c>
      <c r="E271" s="4">
        <v>13</v>
      </c>
      <c r="F271" s="4">
        <v>937</v>
      </c>
      <c r="G271" s="4">
        <v>53782</v>
      </c>
      <c r="H271" s="4">
        <v>26916</v>
      </c>
      <c r="I271" s="4">
        <v>50748</v>
      </c>
      <c r="J271" s="5">
        <v>0</v>
      </c>
      <c r="K271" s="6">
        <v>518.3584075</v>
      </c>
      <c r="L271" s="6">
        <v>535.7579483000001</v>
      </c>
      <c r="M271" s="6">
        <v>572.7407920700001</v>
      </c>
      <c r="N271" s="6">
        <v>5517.5308085</v>
      </c>
      <c r="O271" s="6">
        <v>5556.4391446</v>
      </c>
      <c r="P271" s="6">
        <v>5692.74980901</v>
      </c>
      <c r="Q271" s="6">
        <v>10</v>
      </c>
      <c r="R271" s="6">
        <v>11</v>
      </c>
      <c r="S271" s="6">
        <v>11</v>
      </c>
      <c r="T271" s="6">
        <v>520.872312677739</v>
      </c>
      <c r="U271" s="6">
        <v>5527.26758530176</v>
      </c>
      <c r="V271" s="6">
        <v>5535.500159366672</v>
      </c>
      <c r="W271" s="4">
        <v>0</v>
      </c>
      <c r="X271" s="4">
        <v>0</v>
      </c>
      <c r="Y271" s="4">
        <v>0</v>
      </c>
      <c r="Z271" s="4" t="s">
        <v>685</v>
      </c>
      <c r="AA271" s="4" t="s">
        <v>686</v>
      </c>
    </row>
    <row r="272" ht="30" customHeight="1" spans="1:27" x14ac:dyDescent="0.25">
      <c r="A272" s="4" t="s">
        <v>146</v>
      </c>
      <c r="B272" s="4" t="s">
        <v>94</v>
      </c>
      <c r="C272" s="4">
        <v>15000</v>
      </c>
      <c r="D272" s="4" t="s">
        <v>79</v>
      </c>
      <c r="E272" s="4">
        <v>14</v>
      </c>
      <c r="F272" s="4">
        <v>937</v>
      </c>
      <c r="G272" s="4">
        <v>53764</v>
      </c>
      <c r="H272" s="4">
        <v>26944</v>
      </c>
      <c r="I272" s="4">
        <v>50731</v>
      </c>
      <c r="J272" s="5">
        <v>0</v>
      </c>
      <c r="K272" s="6">
        <v>518.442284</v>
      </c>
      <c r="L272" s="6">
        <v>535.949421</v>
      </c>
      <c r="M272" s="6">
        <v>580.750110120001</v>
      </c>
      <c r="N272" s="6">
        <v>5517.836324</v>
      </c>
      <c r="O272" s="6">
        <v>5559.185074999999</v>
      </c>
      <c r="P272" s="6">
        <v>5705.040838920001</v>
      </c>
      <c r="Q272" s="6">
        <v>10</v>
      </c>
      <c r="R272" s="6">
        <v>11</v>
      </c>
      <c r="S272" s="6">
        <v>11</v>
      </c>
      <c r="T272" s="6">
        <v>521.3101330796802</v>
      </c>
      <c r="U272" s="6">
        <v>5528.4216374967855</v>
      </c>
      <c r="V272" s="6">
        <v>5537.577247777781</v>
      </c>
      <c r="W272" s="4">
        <v>0</v>
      </c>
      <c r="X272" s="4">
        <v>0</v>
      </c>
      <c r="Y272" s="4">
        <v>0</v>
      </c>
      <c r="Z272" s="4" t="s">
        <v>687</v>
      </c>
      <c r="AA272" s="4" t="s">
        <v>688</v>
      </c>
    </row>
    <row r="273" ht="30" customHeight="1" spans="1:27" x14ac:dyDescent="0.25">
      <c r="A273" s="4" t="s">
        <v>146</v>
      </c>
      <c r="B273" s="4" t="s">
        <v>94</v>
      </c>
      <c r="C273" s="4">
        <v>15000</v>
      </c>
      <c r="D273" s="4" t="s">
        <v>79</v>
      </c>
      <c r="E273" s="4">
        <v>15</v>
      </c>
      <c r="F273" s="4">
        <v>937</v>
      </c>
      <c r="G273" s="4">
        <v>53767</v>
      </c>
      <c r="H273" s="4">
        <v>26800</v>
      </c>
      <c r="I273" s="4">
        <v>50736</v>
      </c>
      <c r="J273" s="5">
        <v>0</v>
      </c>
      <c r="K273" s="6">
        <v>518.500576</v>
      </c>
      <c r="L273" s="6">
        <v>536.3205554</v>
      </c>
      <c r="M273" s="6">
        <v>586.9638091199997</v>
      </c>
      <c r="N273" s="6">
        <v>5517.906829</v>
      </c>
      <c r="O273" s="6">
        <v>5558.7991202</v>
      </c>
      <c r="P273" s="6">
        <v>5702.438226839999</v>
      </c>
      <c r="Q273" s="6">
        <v>10</v>
      </c>
      <c r="R273" s="6">
        <v>11</v>
      </c>
      <c r="S273" s="6">
        <v>11</v>
      </c>
      <c r="T273" s="6">
        <v>521.5542448635387</v>
      </c>
      <c r="U273" s="6">
        <v>5528.198565468159</v>
      </c>
      <c r="V273" s="6">
        <v>5537.3028021977025</v>
      </c>
      <c r="W273" s="4">
        <v>0</v>
      </c>
      <c r="X273" s="4">
        <v>0</v>
      </c>
      <c r="Y273" s="4">
        <v>0</v>
      </c>
      <c r="Z273" s="4" t="s">
        <v>689</v>
      </c>
      <c r="AA273" s="4" t="s">
        <v>690</v>
      </c>
    </row>
    <row r="274" ht="30" customHeight="1" spans="1:27" x14ac:dyDescent="0.25">
      <c r="A274" s="4" t="s">
        <v>146</v>
      </c>
      <c r="B274" s="4" t="s">
        <v>94</v>
      </c>
      <c r="C274" s="4">
        <v>18000</v>
      </c>
      <c r="D274" s="4" t="s">
        <v>79</v>
      </c>
      <c r="E274" s="4">
        <v>0</v>
      </c>
      <c r="F274" s="4">
        <v>1125</v>
      </c>
      <c r="G274" s="4">
        <v>64027</v>
      </c>
      <c r="H274" s="4">
        <v>31853</v>
      </c>
      <c r="I274" s="4">
        <v>60383</v>
      </c>
      <c r="J274" s="5">
        <v>0</v>
      </c>
      <c r="K274" s="6">
        <v>522.129808</v>
      </c>
      <c r="L274" s="6">
        <v>543.0736221999999</v>
      </c>
      <c r="M274" s="6">
        <v>634.04867704</v>
      </c>
      <c r="N274" s="6">
        <v>5527.509655</v>
      </c>
      <c r="O274" s="6">
        <v>5686.128672600001</v>
      </c>
      <c r="P274" s="6">
        <v>6140.918509199999</v>
      </c>
      <c r="Q274" s="6">
        <v>10</v>
      </c>
      <c r="R274" s="6">
        <v>11</v>
      </c>
      <c r="S274" s="6">
        <v>11</v>
      </c>
      <c r="T274" s="6">
        <v>526.6867036703142</v>
      </c>
      <c r="U274" s="6">
        <v>5570.90062348857</v>
      </c>
      <c r="V274" s="6">
        <v>5580.132185037168</v>
      </c>
      <c r="W274" s="4">
        <v>0</v>
      </c>
      <c r="X274" s="4">
        <v>0</v>
      </c>
      <c r="Y274" s="4">
        <v>0</v>
      </c>
      <c r="Z274" s="4" t="s">
        <v>691</v>
      </c>
      <c r="AA274" s="4" t="s">
        <v>692</v>
      </c>
    </row>
    <row r="275" ht="30" customHeight="1" spans="1:27" x14ac:dyDescent="0.25">
      <c r="A275" s="4" t="s">
        <v>146</v>
      </c>
      <c r="B275" s="4" t="s">
        <v>94</v>
      </c>
      <c r="C275" s="4">
        <v>18000</v>
      </c>
      <c r="D275" s="4" t="s">
        <v>79</v>
      </c>
      <c r="E275" s="4">
        <v>1</v>
      </c>
      <c r="F275" s="4">
        <v>1125</v>
      </c>
      <c r="G275" s="4">
        <v>64064</v>
      </c>
      <c r="H275" s="4">
        <v>31718</v>
      </c>
      <c r="I275" s="4">
        <v>60428</v>
      </c>
      <c r="J275" s="5">
        <v>0</v>
      </c>
      <c r="K275" s="6">
        <v>522.075744</v>
      </c>
      <c r="L275" s="6">
        <v>542.5535251</v>
      </c>
      <c r="M275" s="6">
        <v>607.5663504600001</v>
      </c>
      <c r="N275" s="6">
        <v>5526.962926</v>
      </c>
      <c r="O275" s="6">
        <v>5681.4111034</v>
      </c>
      <c r="P275" s="6">
        <v>6144.260970050002</v>
      </c>
      <c r="Q275" s="6">
        <v>10</v>
      </c>
      <c r="R275" s="6">
        <v>11</v>
      </c>
      <c r="S275" s="6">
        <v>11</v>
      </c>
      <c r="T275" s="6">
        <v>525.6805154644654</v>
      </c>
      <c r="U275" s="6">
        <v>5569.875041568509</v>
      </c>
      <c r="V275" s="6">
        <v>5578.5496447039195</v>
      </c>
      <c r="W275" s="4">
        <v>0</v>
      </c>
      <c r="X275" s="4">
        <v>0</v>
      </c>
      <c r="Y275" s="4">
        <v>0</v>
      </c>
      <c r="Z275" s="4" t="s">
        <v>693</v>
      </c>
      <c r="AA275" s="4" t="s">
        <v>694</v>
      </c>
    </row>
    <row r="276" ht="30" customHeight="1" spans="1:27" x14ac:dyDescent="0.25">
      <c r="A276" s="4" t="s">
        <v>146</v>
      </c>
      <c r="B276" s="4" t="s">
        <v>94</v>
      </c>
      <c r="C276" s="4">
        <v>18000</v>
      </c>
      <c r="D276" s="4" t="s">
        <v>79</v>
      </c>
      <c r="E276" s="4">
        <v>2</v>
      </c>
      <c r="F276" s="4">
        <v>1125</v>
      </c>
      <c r="G276" s="4">
        <v>64014</v>
      </c>
      <c r="H276" s="4">
        <v>32040</v>
      </c>
      <c r="I276" s="4">
        <v>60377</v>
      </c>
      <c r="J276" s="5">
        <v>0</v>
      </c>
      <c r="K276" s="6">
        <v>522.2814335</v>
      </c>
      <c r="L276" s="6">
        <v>543.882806</v>
      </c>
      <c r="M276" s="6">
        <v>634.16105777</v>
      </c>
      <c r="N276" s="6">
        <v>5527.6949305</v>
      </c>
      <c r="O276" s="6">
        <v>5687.6431704</v>
      </c>
      <c r="P276" s="6">
        <v>6150.525218380002</v>
      </c>
      <c r="Q276" s="6">
        <v>10</v>
      </c>
      <c r="R276" s="6">
        <v>11</v>
      </c>
      <c r="S276" s="6">
        <v>11</v>
      </c>
      <c r="T276" s="6">
        <v>526.8714049334491</v>
      </c>
      <c r="U276" s="6">
        <v>5571.436842142817</v>
      </c>
      <c r="V276" s="6">
        <v>5581.206601066722</v>
      </c>
      <c r="W276" s="4">
        <v>0</v>
      </c>
      <c r="X276" s="4">
        <v>0</v>
      </c>
      <c r="Y276" s="4">
        <v>0</v>
      </c>
      <c r="Z276" s="4" t="s">
        <v>695</v>
      </c>
      <c r="AA276" s="4" t="s">
        <v>696</v>
      </c>
    </row>
    <row r="277" ht="30" customHeight="1" spans="1:27" x14ac:dyDescent="0.25">
      <c r="A277" s="4" t="s">
        <v>146</v>
      </c>
      <c r="B277" s="4" t="s">
        <v>94</v>
      </c>
      <c r="C277" s="4">
        <v>18000</v>
      </c>
      <c r="D277" s="4" t="s">
        <v>79</v>
      </c>
      <c r="E277" s="4">
        <v>3</v>
      </c>
      <c r="F277" s="4">
        <v>1125</v>
      </c>
      <c r="G277" s="4">
        <v>64007</v>
      </c>
      <c r="H277" s="4">
        <v>32031</v>
      </c>
      <c r="I277" s="4">
        <v>60373</v>
      </c>
      <c r="J277" s="5">
        <v>0</v>
      </c>
      <c r="K277" s="6">
        <v>522.130381</v>
      </c>
      <c r="L277" s="6">
        <v>543.4963698</v>
      </c>
      <c r="M277" s="6">
        <v>648.6856178600002</v>
      </c>
      <c r="N277" s="6">
        <v>5527.680668</v>
      </c>
      <c r="O277" s="6">
        <v>5689.228647</v>
      </c>
      <c r="P277" s="6">
        <v>6139.430375320001</v>
      </c>
      <c r="Q277" s="6">
        <v>10</v>
      </c>
      <c r="R277" s="6">
        <v>11</v>
      </c>
      <c r="S277" s="6">
        <v>11</v>
      </c>
      <c r="T277" s="6">
        <v>527.1170672695341</v>
      </c>
      <c r="U277" s="6">
        <v>5571.938071491854</v>
      </c>
      <c r="V277" s="6">
        <v>5581.6631492366005</v>
      </c>
      <c r="W277" s="4">
        <v>0</v>
      </c>
      <c r="X277" s="4">
        <v>0</v>
      </c>
      <c r="Y277" s="4">
        <v>0</v>
      </c>
      <c r="Z277" s="4" t="s">
        <v>697</v>
      </c>
      <c r="AA277" s="4" t="s">
        <v>698</v>
      </c>
    </row>
    <row r="278" ht="30" customHeight="1" spans="1:27" x14ac:dyDescent="0.25">
      <c r="A278" s="4" t="s">
        <v>146</v>
      </c>
      <c r="B278" s="4" t="s">
        <v>94</v>
      </c>
      <c r="C278" s="4">
        <v>18000</v>
      </c>
      <c r="D278" s="4" t="s">
        <v>79</v>
      </c>
      <c r="E278" s="4">
        <v>4</v>
      </c>
      <c r="F278" s="4">
        <v>1125</v>
      </c>
      <c r="G278" s="4">
        <v>64007</v>
      </c>
      <c r="H278" s="4">
        <v>31858</v>
      </c>
      <c r="I278" s="4">
        <v>60376</v>
      </c>
      <c r="J278" s="5">
        <v>0</v>
      </c>
      <c r="K278" s="6">
        <v>522.222929</v>
      </c>
      <c r="L278" s="6">
        <v>542.9757812</v>
      </c>
      <c r="M278" s="6">
        <v>643.1599566200003</v>
      </c>
      <c r="N278" s="6">
        <v>5527.480122</v>
      </c>
      <c r="O278" s="6">
        <v>5689.244841</v>
      </c>
      <c r="P278" s="6">
        <v>6135.123219640001</v>
      </c>
      <c r="Q278" s="6">
        <v>10</v>
      </c>
      <c r="R278" s="6">
        <v>11</v>
      </c>
      <c r="S278" s="6">
        <v>11</v>
      </c>
      <c r="T278" s="6">
        <v>526.7452313654403</v>
      </c>
      <c r="U278" s="6">
        <v>5571.490763898517</v>
      </c>
      <c r="V278" s="6">
        <v>5581.413160579929</v>
      </c>
      <c r="W278" s="4">
        <v>0</v>
      </c>
      <c r="X278" s="4">
        <v>0</v>
      </c>
      <c r="Y278" s="4">
        <v>0</v>
      </c>
      <c r="Z278" s="4" t="s">
        <v>699</v>
      </c>
      <c r="AA278" s="4" t="s">
        <v>700</v>
      </c>
    </row>
    <row r="279" ht="30" customHeight="1" spans="1:27" x14ac:dyDescent="0.25">
      <c r="A279" s="4" t="s">
        <v>146</v>
      </c>
      <c r="B279" s="4" t="s">
        <v>94</v>
      </c>
      <c r="C279" s="4">
        <v>18000</v>
      </c>
      <c r="D279" s="4" t="s">
        <v>79</v>
      </c>
      <c r="E279" s="4">
        <v>5</v>
      </c>
      <c r="F279" s="4">
        <v>1125</v>
      </c>
      <c r="G279" s="4">
        <v>63985</v>
      </c>
      <c r="H279" s="4">
        <v>31873</v>
      </c>
      <c r="I279" s="4">
        <v>60345</v>
      </c>
      <c r="J279" s="5">
        <v>0</v>
      </c>
      <c r="K279" s="6">
        <v>522.317473</v>
      </c>
      <c r="L279" s="6">
        <v>544.0161124</v>
      </c>
      <c r="M279" s="6">
        <v>682.9216671999993</v>
      </c>
      <c r="N279" s="6">
        <v>5527.986281</v>
      </c>
      <c r="O279" s="6">
        <v>5689.5689578</v>
      </c>
      <c r="P279" s="6">
        <v>6150.375222919996</v>
      </c>
      <c r="Q279" s="6">
        <v>10</v>
      </c>
      <c r="R279" s="6">
        <v>11</v>
      </c>
      <c r="S279" s="6">
        <v>11</v>
      </c>
      <c r="T279" s="6">
        <v>528.2204595122962</v>
      </c>
      <c r="U279" s="6">
        <v>5572.339953020639</v>
      </c>
      <c r="V279" s="6">
        <v>5583.417043715099</v>
      </c>
      <c r="W279" s="4">
        <v>0</v>
      </c>
      <c r="X279" s="4">
        <v>0</v>
      </c>
      <c r="Y279" s="4">
        <v>0</v>
      </c>
      <c r="Z279" s="4" t="s">
        <v>701</v>
      </c>
      <c r="AA279" s="4" t="s">
        <v>702</v>
      </c>
    </row>
    <row r="280" ht="30" customHeight="1" spans="1:27" x14ac:dyDescent="0.25">
      <c r="A280" s="4" t="s">
        <v>146</v>
      </c>
      <c r="B280" s="4" t="s">
        <v>94</v>
      </c>
      <c r="C280" s="4">
        <v>18000</v>
      </c>
      <c r="D280" s="4" t="s">
        <v>79</v>
      </c>
      <c r="E280" s="4">
        <v>6</v>
      </c>
      <c r="F280" s="4">
        <v>1125</v>
      </c>
      <c r="G280" s="4">
        <v>64031</v>
      </c>
      <c r="H280" s="4">
        <v>31934</v>
      </c>
      <c r="I280" s="4">
        <v>60395</v>
      </c>
      <c r="J280" s="5">
        <v>0</v>
      </c>
      <c r="K280" s="6">
        <v>522.083947</v>
      </c>
      <c r="L280" s="6">
        <v>542.758823</v>
      </c>
      <c r="M280" s="6">
        <v>630.4425759999997</v>
      </c>
      <c r="N280" s="6">
        <v>5527.208944</v>
      </c>
      <c r="O280" s="6">
        <v>5685.313514</v>
      </c>
      <c r="P280" s="6">
        <v>6144.609428999998</v>
      </c>
      <c r="Q280" s="6">
        <v>10</v>
      </c>
      <c r="R280" s="6">
        <v>11</v>
      </c>
      <c r="S280" s="6">
        <v>11</v>
      </c>
      <c r="T280" s="6">
        <v>526.4051133338561</v>
      </c>
      <c r="U280" s="6">
        <v>5571.002488253188</v>
      </c>
      <c r="V280" s="6">
        <v>5580.1029424151775</v>
      </c>
      <c r="W280" s="4">
        <v>0</v>
      </c>
      <c r="X280" s="4">
        <v>0</v>
      </c>
      <c r="Y280" s="4">
        <v>0</v>
      </c>
      <c r="Z280" s="4" t="s">
        <v>703</v>
      </c>
      <c r="AA280" s="4" t="s">
        <v>704</v>
      </c>
    </row>
    <row r="281" ht="30" customHeight="1" spans="1:27" x14ac:dyDescent="0.25">
      <c r="A281" s="4" t="s">
        <v>146</v>
      </c>
      <c r="B281" s="4" t="s">
        <v>94</v>
      </c>
      <c r="C281" s="4">
        <v>18000</v>
      </c>
      <c r="D281" s="4" t="s">
        <v>79</v>
      </c>
      <c r="E281" s="4">
        <v>7</v>
      </c>
      <c r="F281" s="4">
        <v>1125</v>
      </c>
      <c r="G281" s="4">
        <v>64025</v>
      </c>
      <c r="H281" s="4">
        <v>31925</v>
      </c>
      <c r="I281" s="4">
        <v>60389</v>
      </c>
      <c r="J281" s="5">
        <v>0</v>
      </c>
      <c r="K281" s="6">
        <v>522.360203</v>
      </c>
      <c r="L281" s="6">
        <v>544.3266482</v>
      </c>
      <c r="M281" s="6">
        <v>632.4065953200001</v>
      </c>
      <c r="N281" s="6">
        <v>5527.965654</v>
      </c>
      <c r="O281" s="6">
        <v>5688.6473654</v>
      </c>
      <c r="P281" s="6">
        <v>6155.556156160001</v>
      </c>
      <c r="Q281" s="6">
        <v>10</v>
      </c>
      <c r="R281" s="6">
        <v>11</v>
      </c>
      <c r="S281" s="6">
        <v>11</v>
      </c>
      <c r="T281" s="6">
        <v>527.079519377151</v>
      </c>
      <c r="U281" s="6">
        <v>5572.256125312909</v>
      </c>
      <c r="V281" s="6">
        <v>5582.641301510341</v>
      </c>
      <c r="W281" s="4">
        <v>0</v>
      </c>
      <c r="X281" s="4">
        <v>0</v>
      </c>
      <c r="Y281" s="4">
        <v>0</v>
      </c>
      <c r="Z281" s="4" t="s">
        <v>705</v>
      </c>
      <c r="AA281" s="4" t="s">
        <v>706</v>
      </c>
    </row>
    <row r="282" ht="30" customHeight="1" spans="1:27" x14ac:dyDescent="0.25">
      <c r="A282" s="4" t="s">
        <v>146</v>
      </c>
      <c r="B282" s="4" t="s">
        <v>94</v>
      </c>
      <c r="C282" s="4">
        <v>18000</v>
      </c>
      <c r="D282" s="4" t="s">
        <v>79</v>
      </c>
      <c r="E282" s="4">
        <v>8</v>
      </c>
      <c r="F282" s="4">
        <v>1125</v>
      </c>
      <c r="G282" s="4">
        <v>64008</v>
      </c>
      <c r="H282" s="4">
        <v>32022</v>
      </c>
      <c r="I282" s="4">
        <v>60369</v>
      </c>
      <c r="J282" s="5">
        <v>0</v>
      </c>
      <c r="K282" s="6">
        <v>522.1784339999999</v>
      </c>
      <c r="L282" s="6">
        <v>543.2510057</v>
      </c>
      <c r="M282" s="6">
        <v>651.45214612</v>
      </c>
      <c r="N282" s="6">
        <v>5527.5920425</v>
      </c>
      <c r="O282" s="6">
        <v>5687.8457746</v>
      </c>
      <c r="P282" s="6">
        <v>6152.83581549</v>
      </c>
      <c r="Q282" s="6">
        <v>10</v>
      </c>
      <c r="R282" s="6">
        <v>11</v>
      </c>
      <c r="S282" s="6">
        <v>11</v>
      </c>
      <c r="T282" s="6">
        <v>526.9728073242841</v>
      </c>
      <c r="U282" s="6">
        <v>5571.663567452707</v>
      </c>
      <c r="V282" s="6">
        <v>5581.3477926621745</v>
      </c>
      <c r="W282" s="4">
        <v>0</v>
      </c>
      <c r="X282" s="4">
        <v>0</v>
      </c>
      <c r="Y282" s="4">
        <v>0</v>
      </c>
      <c r="Z282" s="4" t="s">
        <v>707</v>
      </c>
      <c r="AA282" s="4" t="s">
        <v>708</v>
      </c>
    </row>
    <row r="283" ht="30" customHeight="1" spans="1:27" x14ac:dyDescent="0.25">
      <c r="A283" s="4" t="s">
        <v>146</v>
      </c>
      <c r="B283" s="4" t="s">
        <v>94</v>
      </c>
      <c r="C283" s="4">
        <v>18000</v>
      </c>
      <c r="D283" s="4" t="s">
        <v>79</v>
      </c>
      <c r="E283" s="4">
        <v>9</v>
      </c>
      <c r="F283" s="4">
        <v>1125</v>
      </c>
      <c r="G283" s="4">
        <v>64067</v>
      </c>
      <c r="H283" s="4">
        <v>32014</v>
      </c>
      <c r="I283" s="4">
        <v>60428</v>
      </c>
      <c r="J283" s="5">
        <v>0</v>
      </c>
      <c r="K283" s="6">
        <v>522.135365</v>
      </c>
      <c r="L283" s="6">
        <v>542.3159186</v>
      </c>
      <c r="M283" s="6">
        <v>607.3433292399999</v>
      </c>
      <c r="N283" s="6">
        <v>5526.912817</v>
      </c>
      <c r="O283" s="6">
        <v>5682.3342892</v>
      </c>
      <c r="P283" s="6">
        <v>6144.93165462</v>
      </c>
      <c r="Q283" s="6">
        <v>10</v>
      </c>
      <c r="R283" s="6">
        <v>11</v>
      </c>
      <c r="S283" s="6">
        <v>11</v>
      </c>
      <c r="T283" s="6">
        <v>525.6496935491757</v>
      </c>
      <c r="U283" s="6">
        <v>5569.962742096592</v>
      </c>
      <c r="V283" s="6">
        <v>5578.6643187341915</v>
      </c>
      <c r="W283" s="4">
        <v>0</v>
      </c>
      <c r="X283" s="4">
        <v>0</v>
      </c>
      <c r="Y283" s="4">
        <v>0</v>
      </c>
      <c r="Z283" s="4" t="s">
        <v>709</v>
      </c>
      <c r="AA283" s="4" t="s">
        <v>710</v>
      </c>
    </row>
    <row r="284" ht="30" customHeight="1" spans="1:27" x14ac:dyDescent="0.25">
      <c r="A284" s="4" t="s">
        <v>146</v>
      </c>
      <c r="B284" s="4" t="s">
        <v>94</v>
      </c>
      <c r="C284" s="4">
        <v>18000</v>
      </c>
      <c r="D284" s="4" t="s">
        <v>79</v>
      </c>
      <c r="E284" s="4">
        <v>10</v>
      </c>
      <c r="F284" s="4">
        <v>1125</v>
      </c>
      <c r="G284" s="4">
        <v>64056</v>
      </c>
      <c r="H284" s="4">
        <v>32024</v>
      </c>
      <c r="I284" s="4">
        <v>60420</v>
      </c>
      <c r="J284" s="5">
        <v>0</v>
      </c>
      <c r="K284" s="6">
        <v>522.1728439999999</v>
      </c>
      <c r="L284" s="6">
        <v>543.0807199999999</v>
      </c>
      <c r="M284" s="6">
        <v>635.5534430999999</v>
      </c>
      <c r="N284" s="6">
        <v>5527.40628</v>
      </c>
      <c r="O284" s="6">
        <v>5685.6321609999995</v>
      </c>
      <c r="P284" s="6">
        <v>6141.95977975</v>
      </c>
      <c r="Q284" s="6">
        <v>10</v>
      </c>
      <c r="R284" s="6">
        <v>11</v>
      </c>
      <c r="S284" s="6">
        <v>11</v>
      </c>
      <c r="T284" s="6">
        <v>526.5701587860498</v>
      </c>
      <c r="U284" s="6">
        <v>5571.287249930167</v>
      </c>
      <c r="V284" s="6">
        <v>5580.507408144419</v>
      </c>
      <c r="W284" s="4">
        <v>0</v>
      </c>
      <c r="X284" s="4">
        <v>0</v>
      </c>
      <c r="Y284" s="4">
        <v>0</v>
      </c>
      <c r="Z284" s="4" t="s">
        <v>711</v>
      </c>
      <c r="AA284" s="4" t="s">
        <v>712</v>
      </c>
    </row>
    <row r="285" ht="30" customHeight="1" spans="1:27" x14ac:dyDescent="0.25">
      <c r="A285" s="4" t="s">
        <v>146</v>
      </c>
      <c r="B285" s="4" t="s">
        <v>94</v>
      </c>
      <c r="C285" s="4">
        <v>18000</v>
      </c>
      <c r="D285" s="4" t="s">
        <v>79</v>
      </c>
      <c r="E285" s="4">
        <v>11</v>
      </c>
      <c r="F285" s="4">
        <v>1125</v>
      </c>
      <c r="G285" s="4">
        <v>64031</v>
      </c>
      <c r="H285" s="4">
        <v>32064</v>
      </c>
      <c r="I285" s="4">
        <v>60394</v>
      </c>
      <c r="J285" s="5">
        <v>0</v>
      </c>
      <c r="K285" s="6">
        <v>522.268569</v>
      </c>
      <c r="L285" s="6">
        <v>543.284623</v>
      </c>
      <c r="M285" s="6">
        <v>623.8272965</v>
      </c>
      <c r="N285" s="6">
        <v>5527.938153</v>
      </c>
      <c r="O285" s="6">
        <v>5689.316431</v>
      </c>
      <c r="P285" s="6">
        <v>6159.504660799999</v>
      </c>
      <c r="Q285" s="6">
        <v>10</v>
      </c>
      <c r="R285" s="6">
        <v>11</v>
      </c>
      <c r="S285" s="6">
        <v>11</v>
      </c>
      <c r="T285" s="6">
        <v>526.53153450093</v>
      </c>
      <c r="U285" s="6">
        <v>5572.195746925714</v>
      </c>
      <c r="V285" s="6">
        <v>5582.324123210682</v>
      </c>
      <c r="W285" s="4">
        <v>0</v>
      </c>
      <c r="X285" s="4">
        <v>0</v>
      </c>
      <c r="Y285" s="4">
        <v>0</v>
      </c>
      <c r="Z285" s="4" t="s">
        <v>713</v>
      </c>
      <c r="AA285" s="4" t="s">
        <v>714</v>
      </c>
    </row>
    <row r="286" ht="30" customHeight="1" spans="1:27" x14ac:dyDescent="0.25">
      <c r="A286" s="4" t="s">
        <v>146</v>
      </c>
      <c r="B286" s="4" t="s">
        <v>94</v>
      </c>
      <c r="C286" s="4">
        <v>18000</v>
      </c>
      <c r="D286" s="4" t="s">
        <v>79</v>
      </c>
      <c r="E286" s="4">
        <v>12</v>
      </c>
      <c r="F286" s="4">
        <v>1125</v>
      </c>
      <c r="G286" s="4">
        <v>64006</v>
      </c>
      <c r="H286" s="4">
        <v>32144</v>
      </c>
      <c r="I286" s="4">
        <v>60370</v>
      </c>
      <c r="J286" s="5">
        <v>0</v>
      </c>
      <c r="K286" s="6">
        <v>522.4112815000001</v>
      </c>
      <c r="L286" s="6">
        <v>543.79371</v>
      </c>
      <c r="M286" s="6">
        <v>668.5891820499997</v>
      </c>
      <c r="N286" s="6">
        <v>5527.8185375</v>
      </c>
      <c r="O286" s="6">
        <v>5690.671959</v>
      </c>
      <c r="P286" s="6">
        <v>6140.864072049999</v>
      </c>
      <c r="Q286" s="6">
        <v>10</v>
      </c>
      <c r="R286" s="6">
        <v>11</v>
      </c>
      <c r="S286" s="6">
        <v>11</v>
      </c>
      <c r="T286" s="6">
        <v>527.6621654487864</v>
      </c>
      <c r="U286" s="6">
        <v>5572.047570219877</v>
      </c>
      <c r="V286" s="6">
        <v>5582.468595194153</v>
      </c>
      <c r="W286" s="4">
        <v>0</v>
      </c>
      <c r="X286" s="4">
        <v>0</v>
      </c>
      <c r="Y286" s="4">
        <v>0</v>
      </c>
      <c r="Z286" s="4" t="s">
        <v>715</v>
      </c>
      <c r="AA286" s="4" t="s">
        <v>716</v>
      </c>
    </row>
    <row r="287" ht="30" customHeight="1" spans="1:27" x14ac:dyDescent="0.25">
      <c r="A287" s="4" t="s">
        <v>146</v>
      </c>
      <c r="B287" s="4" t="s">
        <v>94</v>
      </c>
      <c r="C287" s="4">
        <v>18000</v>
      </c>
      <c r="D287" s="4" t="s">
        <v>79</v>
      </c>
      <c r="E287" s="4">
        <v>13</v>
      </c>
      <c r="F287" s="4">
        <v>1125</v>
      </c>
      <c r="G287" s="4">
        <v>64040</v>
      </c>
      <c r="H287" s="4">
        <v>31973</v>
      </c>
      <c r="I287" s="4">
        <v>60405</v>
      </c>
      <c r="J287" s="5">
        <v>0</v>
      </c>
      <c r="K287" s="6">
        <v>522.2428475</v>
      </c>
      <c r="L287" s="6">
        <v>543.2133158</v>
      </c>
      <c r="M287" s="6">
        <v>630.62889614</v>
      </c>
      <c r="N287" s="6">
        <v>5527.525924</v>
      </c>
      <c r="O287" s="6">
        <v>5684.390565600001</v>
      </c>
      <c r="P287" s="6">
        <v>6130.93861913</v>
      </c>
      <c r="Q287" s="6">
        <v>10</v>
      </c>
      <c r="R287" s="6">
        <v>11</v>
      </c>
      <c r="S287" s="6">
        <v>11</v>
      </c>
      <c r="T287" s="6">
        <v>526.540640892664</v>
      </c>
      <c r="U287" s="6">
        <v>5570.666049677787</v>
      </c>
      <c r="V287" s="6">
        <v>5580.37285534616</v>
      </c>
      <c r="W287" s="4">
        <v>0</v>
      </c>
      <c r="X287" s="4">
        <v>0</v>
      </c>
      <c r="Y287" s="4">
        <v>0</v>
      </c>
      <c r="Z287" s="4" t="s">
        <v>717</v>
      </c>
      <c r="AA287" s="4" t="s">
        <v>718</v>
      </c>
    </row>
    <row r="288" ht="30" customHeight="1" spans="1:27" x14ac:dyDescent="0.25">
      <c r="A288" s="4" t="s">
        <v>146</v>
      </c>
      <c r="B288" s="4" t="s">
        <v>94</v>
      </c>
      <c r="C288" s="4">
        <v>18000</v>
      </c>
      <c r="D288" s="4" t="s">
        <v>79</v>
      </c>
      <c r="E288" s="4">
        <v>14</v>
      </c>
      <c r="F288" s="4">
        <v>1125</v>
      </c>
      <c r="G288" s="4">
        <v>64071</v>
      </c>
      <c r="H288" s="4">
        <v>32109</v>
      </c>
      <c r="I288" s="4">
        <v>60439</v>
      </c>
      <c r="J288" s="5">
        <v>0</v>
      </c>
      <c r="K288" s="6">
        <v>522.196031</v>
      </c>
      <c r="L288" s="6">
        <v>542.996594</v>
      </c>
      <c r="M288" s="6">
        <v>614.8452193</v>
      </c>
      <c r="N288" s="6">
        <v>5527.1492</v>
      </c>
      <c r="O288" s="6">
        <v>5686.637447</v>
      </c>
      <c r="P288" s="6">
        <v>6139.565759500001</v>
      </c>
      <c r="Q288" s="6">
        <v>10</v>
      </c>
      <c r="R288" s="6">
        <v>11</v>
      </c>
      <c r="S288" s="6">
        <v>11</v>
      </c>
      <c r="T288" s="6">
        <v>526.1303493635495</v>
      </c>
      <c r="U288" s="6">
        <v>5570.801363507486</v>
      </c>
      <c r="V288" s="6">
        <v>5579.8301827723835</v>
      </c>
      <c r="W288" s="4">
        <v>0</v>
      </c>
      <c r="X288" s="4">
        <v>0</v>
      </c>
      <c r="Y288" s="4">
        <v>0</v>
      </c>
      <c r="Z288" s="4" t="s">
        <v>719</v>
      </c>
      <c r="AA288" s="4" t="s">
        <v>720</v>
      </c>
    </row>
    <row r="289" ht="30" customHeight="1" spans="1:27" x14ac:dyDescent="0.25">
      <c r="A289" s="4" t="s">
        <v>146</v>
      </c>
      <c r="B289" s="4" t="s">
        <v>94</v>
      </c>
      <c r="C289" s="4">
        <v>18000</v>
      </c>
      <c r="D289" s="4" t="s">
        <v>79</v>
      </c>
      <c r="E289" s="4">
        <v>15</v>
      </c>
      <c r="F289" s="4">
        <v>1125</v>
      </c>
      <c r="G289" s="4">
        <v>64029</v>
      </c>
      <c r="H289" s="4">
        <v>32078</v>
      </c>
      <c r="I289" s="4">
        <v>60394</v>
      </c>
      <c r="J289" s="5">
        <v>0</v>
      </c>
      <c r="K289" s="6">
        <v>522.375216</v>
      </c>
      <c r="L289" s="6">
        <v>543.99002</v>
      </c>
      <c r="M289" s="6">
        <v>638.47180072</v>
      </c>
      <c r="N289" s="6">
        <v>5527.608493</v>
      </c>
      <c r="O289" s="6">
        <v>5687.147565599999</v>
      </c>
      <c r="P289" s="6">
        <v>6138.78502816</v>
      </c>
      <c r="Q289" s="6">
        <v>10</v>
      </c>
      <c r="R289" s="6">
        <v>11</v>
      </c>
      <c r="S289" s="6">
        <v>11</v>
      </c>
      <c r="T289" s="6">
        <v>526.9633723924577</v>
      </c>
      <c r="U289" s="6">
        <v>5570.986905929737</v>
      </c>
      <c r="V289" s="6">
        <v>5580.998066686656</v>
      </c>
      <c r="W289" s="4">
        <v>0</v>
      </c>
      <c r="X289" s="4">
        <v>0</v>
      </c>
      <c r="Y289" s="4">
        <v>0</v>
      </c>
      <c r="Z289" s="4" t="s">
        <v>721</v>
      </c>
      <c r="AA289" s="4" t="s">
        <v>722</v>
      </c>
    </row>
    <row r="290" ht="30" customHeight="1" spans="1:27" x14ac:dyDescent="0.25">
      <c r="A290" s="4" t="s">
        <v>146</v>
      </c>
      <c r="B290" s="4" t="s">
        <v>101</v>
      </c>
      <c r="C290" s="4">
        <v>1000</v>
      </c>
      <c r="D290" s="4" t="s">
        <v>79</v>
      </c>
      <c r="E290" s="4">
        <v>0</v>
      </c>
      <c r="F290" s="4">
        <v>63</v>
      </c>
      <c r="G290" s="4">
        <v>703</v>
      </c>
      <c r="H290" s="4">
        <v>323</v>
      </c>
      <c r="I290" s="4">
        <v>640</v>
      </c>
      <c r="J290" s="5">
        <v>0</v>
      </c>
      <c r="K290" s="6">
        <v>505.408296</v>
      </c>
      <c r="L290" s="6">
        <v>511.1079564</v>
      </c>
      <c r="M290" s="6">
        <v>516.3743788200001</v>
      </c>
      <c r="N290" s="6">
        <v>60454.850951</v>
      </c>
      <c r="O290" s="6">
        <v>60459.933722</v>
      </c>
      <c r="P290" s="6">
        <v>60466.5373452</v>
      </c>
      <c r="Q290" s="6">
        <v>50</v>
      </c>
      <c r="R290" s="6">
        <v>51</v>
      </c>
      <c r="S290" s="6">
        <v>51</v>
      </c>
      <c r="T290" s="6">
        <v>506.06796190184906</v>
      </c>
      <c r="U290" s="6">
        <v>60455.721319367076</v>
      </c>
      <c r="V290" s="6">
        <v>60472.87740629161</v>
      </c>
      <c r="W290" s="4">
        <v>0</v>
      </c>
      <c r="X290" s="4">
        <v>0</v>
      </c>
      <c r="Y290" s="4">
        <v>0</v>
      </c>
      <c r="Z290" s="4" t="s">
        <v>723</v>
      </c>
      <c r="AA290" s="4" t="s">
        <v>724</v>
      </c>
    </row>
    <row r="291" ht="30" customHeight="1" spans="1:27" x14ac:dyDescent="0.25">
      <c r="A291" s="4" t="s">
        <v>146</v>
      </c>
      <c r="B291" s="4" t="s">
        <v>101</v>
      </c>
      <c r="C291" s="4">
        <v>1000</v>
      </c>
      <c r="D291" s="4" t="s">
        <v>79</v>
      </c>
      <c r="E291" s="4">
        <v>1</v>
      </c>
      <c r="F291" s="4">
        <v>63</v>
      </c>
      <c r="G291" s="4">
        <v>703</v>
      </c>
      <c r="H291" s="4">
        <v>356</v>
      </c>
      <c r="I291" s="4">
        <v>640</v>
      </c>
      <c r="J291" s="5">
        <v>0</v>
      </c>
      <c r="K291" s="6">
        <v>504.870715</v>
      </c>
      <c r="L291" s="6">
        <v>510.18061240000003</v>
      </c>
      <c r="M291" s="6">
        <v>515.8785613800001</v>
      </c>
      <c r="N291" s="6">
        <v>60454.865933</v>
      </c>
      <c r="O291" s="6">
        <v>60459.8735354</v>
      </c>
      <c r="P291" s="6">
        <v>60466.4781211</v>
      </c>
      <c r="Q291" s="6">
        <v>50</v>
      </c>
      <c r="R291" s="6">
        <v>51</v>
      </c>
      <c r="S291" s="6">
        <v>51</v>
      </c>
      <c r="T291" s="6">
        <v>505.6903566813662</v>
      </c>
      <c r="U291" s="6">
        <v>60455.8384535561</v>
      </c>
      <c r="V291" s="6">
        <v>60474.673856135116</v>
      </c>
      <c r="W291" s="4">
        <v>0</v>
      </c>
      <c r="X291" s="4">
        <v>0</v>
      </c>
      <c r="Y291" s="4">
        <v>0</v>
      </c>
      <c r="Z291" s="4" t="s">
        <v>725</v>
      </c>
      <c r="AA291" s="4" t="s">
        <v>726</v>
      </c>
    </row>
    <row r="292" ht="30" customHeight="1" spans="1:27" x14ac:dyDescent="0.25">
      <c r="A292" s="4" t="s">
        <v>146</v>
      </c>
      <c r="B292" s="4" t="s">
        <v>101</v>
      </c>
      <c r="C292" s="4">
        <v>1000</v>
      </c>
      <c r="D292" s="4" t="s">
        <v>79</v>
      </c>
      <c r="E292" s="4">
        <v>2</v>
      </c>
      <c r="F292" s="4">
        <v>63</v>
      </c>
      <c r="G292" s="4">
        <v>703</v>
      </c>
      <c r="H292" s="4">
        <v>365</v>
      </c>
      <c r="I292" s="4">
        <v>640</v>
      </c>
      <c r="J292" s="5">
        <v>0</v>
      </c>
      <c r="K292" s="6">
        <v>505.058453</v>
      </c>
      <c r="L292" s="6">
        <v>510.5028524</v>
      </c>
      <c r="M292" s="6">
        <v>516.89646316</v>
      </c>
      <c r="N292" s="6">
        <v>60454.881548</v>
      </c>
      <c r="O292" s="6">
        <v>60460.0672822</v>
      </c>
      <c r="P292" s="6">
        <v>60466.79653796</v>
      </c>
      <c r="Q292" s="6">
        <v>50</v>
      </c>
      <c r="R292" s="6">
        <v>51</v>
      </c>
      <c r="S292" s="6">
        <v>51</v>
      </c>
      <c r="T292" s="6">
        <v>505.93649341963015</v>
      </c>
      <c r="U292" s="6">
        <v>60455.82043941394</v>
      </c>
      <c r="V292" s="6">
        <v>60474.655471382626</v>
      </c>
      <c r="W292" s="4">
        <v>0</v>
      </c>
      <c r="X292" s="4">
        <v>0</v>
      </c>
      <c r="Y292" s="4">
        <v>0</v>
      </c>
      <c r="Z292" s="4" t="s">
        <v>727</v>
      </c>
      <c r="AA292" s="4" t="s">
        <v>728</v>
      </c>
    </row>
    <row r="293" ht="30" customHeight="1" spans="1:27" x14ac:dyDescent="0.25">
      <c r="A293" s="4" t="s">
        <v>146</v>
      </c>
      <c r="B293" s="4" t="s">
        <v>101</v>
      </c>
      <c r="C293" s="4">
        <v>1000</v>
      </c>
      <c r="D293" s="4" t="s">
        <v>79</v>
      </c>
      <c r="E293" s="4">
        <v>3</v>
      </c>
      <c r="F293" s="4">
        <v>63</v>
      </c>
      <c r="G293" s="4">
        <v>703</v>
      </c>
      <c r="H293" s="4">
        <v>363</v>
      </c>
      <c r="I293" s="4">
        <v>641</v>
      </c>
      <c r="J293" s="5">
        <v>0</v>
      </c>
      <c r="K293" s="6">
        <v>505.152521</v>
      </c>
      <c r="L293" s="6">
        <v>510.631223</v>
      </c>
      <c r="M293" s="6">
        <v>518.5964896</v>
      </c>
      <c r="N293" s="6">
        <v>60454.826569</v>
      </c>
      <c r="O293" s="6">
        <v>60460.2033358</v>
      </c>
      <c r="P293" s="6">
        <v>60464.97688904</v>
      </c>
      <c r="Q293" s="6">
        <v>50</v>
      </c>
      <c r="R293" s="6">
        <v>51</v>
      </c>
      <c r="S293" s="6">
        <v>51</v>
      </c>
      <c r="T293" s="6">
        <v>506.06289855334285</v>
      </c>
      <c r="U293" s="6">
        <v>60455.78413172415</v>
      </c>
      <c r="V293" s="6">
        <v>60474.759084797995</v>
      </c>
      <c r="W293" s="4">
        <v>0</v>
      </c>
      <c r="X293" s="4">
        <v>0</v>
      </c>
      <c r="Y293" s="4">
        <v>0</v>
      </c>
      <c r="Z293" s="4" t="s">
        <v>729</v>
      </c>
      <c r="AA293" s="4" t="s">
        <v>730</v>
      </c>
    </row>
    <row r="294" ht="30" customHeight="1" spans="1:27" x14ac:dyDescent="0.25">
      <c r="A294" s="4" t="s">
        <v>146</v>
      </c>
      <c r="B294" s="4" t="s">
        <v>101</v>
      </c>
      <c r="C294" s="4">
        <v>1000</v>
      </c>
      <c r="D294" s="4" t="s">
        <v>79</v>
      </c>
      <c r="E294" s="4">
        <v>4</v>
      </c>
      <c r="F294" s="4">
        <v>63</v>
      </c>
      <c r="G294" s="4">
        <v>703</v>
      </c>
      <c r="H294" s="4">
        <v>370</v>
      </c>
      <c r="I294" s="4">
        <v>640</v>
      </c>
      <c r="J294" s="5">
        <v>0</v>
      </c>
      <c r="K294" s="6">
        <v>505.036774</v>
      </c>
      <c r="L294" s="6">
        <v>510.6057214</v>
      </c>
      <c r="M294" s="6">
        <v>518.6908398800001</v>
      </c>
      <c r="N294" s="6">
        <v>60454.709987</v>
      </c>
      <c r="O294" s="6">
        <v>60460.13477</v>
      </c>
      <c r="P294" s="6">
        <v>60464.721767159994</v>
      </c>
      <c r="Q294" s="6">
        <v>50</v>
      </c>
      <c r="R294" s="6">
        <v>51</v>
      </c>
      <c r="S294" s="6">
        <v>51</v>
      </c>
      <c r="T294" s="6">
        <v>505.85893082503526</v>
      </c>
      <c r="U294" s="6">
        <v>60455.5771363016</v>
      </c>
      <c r="V294" s="6">
        <v>60475.07910720771</v>
      </c>
      <c r="W294" s="4">
        <v>0</v>
      </c>
      <c r="X294" s="4">
        <v>0</v>
      </c>
      <c r="Y294" s="4">
        <v>0</v>
      </c>
      <c r="Z294" s="4" t="s">
        <v>731</v>
      </c>
      <c r="AA294" s="4" t="s">
        <v>732</v>
      </c>
    </row>
    <row r="295" ht="30" customHeight="1" spans="1:27" x14ac:dyDescent="0.25">
      <c r="A295" s="4" t="s">
        <v>146</v>
      </c>
      <c r="B295" s="4" t="s">
        <v>101</v>
      </c>
      <c r="C295" s="4">
        <v>1000</v>
      </c>
      <c r="D295" s="4" t="s">
        <v>79</v>
      </c>
      <c r="E295" s="4">
        <v>5</v>
      </c>
      <c r="F295" s="4">
        <v>63</v>
      </c>
      <c r="G295" s="4">
        <v>704</v>
      </c>
      <c r="H295" s="4">
        <v>345</v>
      </c>
      <c r="I295" s="4">
        <v>641</v>
      </c>
      <c r="J295" s="5">
        <v>0</v>
      </c>
      <c r="K295" s="6">
        <v>505.37279</v>
      </c>
      <c r="L295" s="6">
        <v>510.8155511</v>
      </c>
      <c r="M295" s="6">
        <v>520.55589042</v>
      </c>
      <c r="N295" s="6">
        <v>60454.829853</v>
      </c>
      <c r="O295" s="6">
        <v>60459.9527841</v>
      </c>
      <c r="P295" s="6">
        <v>60466.96054603</v>
      </c>
      <c r="Q295" s="6">
        <v>50</v>
      </c>
      <c r="R295" s="6">
        <v>51</v>
      </c>
      <c r="S295" s="6">
        <v>51</v>
      </c>
      <c r="T295" s="6">
        <v>506.25315122159174</v>
      </c>
      <c r="U295" s="6">
        <v>60455.76096579822</v>
      </c>
      <c r="V295" s="6">
        <v>60473.69548948304</v>
      </c>
      <c r="W295" s="4">
        <v>0</v>
      </c>
      <c r="X295" s="4">
        <v>0</v>
      </c>
      <c r="Y295" s="4">
        <v>0</v>
      </c>
      <c r="Z295" s="4" t="s">
        <v>733</v>
      </c>
      <c r="AA295" s="4" t="s">
        <v>734</v>
      </c>
    </row>
    <row r="296" ht="30" customHeight="1" spans="1:27" x14ac:dyDescent="0.25">
      <c r="A296" s="4" t="s">
        <v>146</v>
      </c>
      <c r="B296" s="4" t="s">
        <v>101</v>
      </c>
      <c r="C296" s="4">
        <v>1000</v>
      </c>
      <c r="D296" s="4" t="s">
        <v>79</v>
      </c>
      <c r="E296" s="4">
        <v>6</v>
      </c>
      <c r="F296" s="4">
        <v>63</v>
      </c>
      <c r="G296" s="4">
        <v>704</v>
      </c>
      <c r="H296" s="4">
        <v>324</v>
      </c>
      <c r="I296" s="4">
        <v>641</v>
      </c>
      <c r="J296" s="5">
        <v>0</v>
      </c>
      <c r="K296" s="6">
        <v>504.989914</v>
      </c>
      <c r="L296" s="6">
        <v>510.3460671</v>
      </c>
      <c r="M296" s="6">
        <v>516.5175242299999</v>
      </c>
      <c r="N296" s="6">
        <v>60454.907573000004</v>
      </c>
      <c r="O296" s="6">
        <v>60460.2478726</v>
      </c>
      <c r="P296" s="6">
        <v>60467.34167295</v>
      </c>
      <c r="Q296" s="6">
        <v>50</v>
      </c>
      <c r="R296" s="6">
        <v>51</v>
      </c>
      <c r="S296" s="6">
        <v>51</v>
      </c>
      <c r="T296" s="6">
        <v>505.88552237357965</v>
      </c>
      <c r="U296" s="6">
        <v>60455.94188226701</v>
      </c>
      <c r="V296" s="6">
        <v>60473.199696656244</v>
      </c>
      <c r="W296" s="4">
        <v>0</v>
      </c>
      <c r="X296" s="4">
        <v>0</v>
      </c>
      <c r="Y296" s="4">
        <v>0</v>
      </c>
      <c r="Z296" s="4" t="s">
        <v>735</v>
      </c>
      <c r="AA296" s="4" t="s">
        <v>736</v>
      </c>
    </row>
    <row r="297" ht="30" customHeight="1" spans="1:27" x14ac:dyDescent="0.25">
      <c r="A297" s="4" t="s">
        <v>146</v>
      </c>
      <c r="B297" s="4" t="s">
        <v>101</v>
      </c>
      <c r="C297" s="4">
        <v>1000</v>
      </c>
      <c r="D297" s="4" t="s">
        <v>79</v>
      </c>
      <c r="E297" s="4">
        <v>7</v>
      </c>
      <c r="F297" s="4">
        <v>63</v>
      </c>
      <c r="G297" s="4">
        <v>703</v>
      </c>
      <c r="H297" s="4">
        <v>381</v>
      </c>
      <c r="I297" s="4">
        <v>641</v>
      </c>
      <c r="J297" s="5">
        <v>0</v>
      </c>
      <c r="K297" s="6">
        <v>505.2334</v>
      </c>
      <c r="L297" s="6">
        <v>510.7270274</v>
      </c>
      <c r="M297" s="6">
        <v>517.59598406</v>
      </c>
      <c r="N297" s="6">
        <v>60455.015676</v>
      </c>
      <c r="O297" s="6">
        <v>60460.144326199996</v>
      </c>
      <c r="P297" s="6">
        <v>60465.75824352</v>
      </c>
      <c r="Q297" s="6">
        <v>50</v>
      </c>
      <c r="R297" s="6">
        <v>51</v>
      </c>
      <c r="S297" s="6">
        <v>51</v>
      </c>
      <c r="T297" s="6">
        <v>506.1390641536273</v>
      </c>
      <c r="U297" s="6">
        <v>60455.881865965894</v>
      </c>
      <c r="V297" s="6">
        <v>60475.870537418166</v>
      </c>
      <c r="W297" s="4">
        <v>0</v>
      </c>
      <c r="X297" s="4">
        <v>0</v>
      </c>
      <c r="Y297" s="4">
        <v>0</v>
      </c>
      <c r="Z297" s="4" t="s">
        <v>737</v>
      </c>
      <c r="AA297" s="4" t="s">
        <v>738</v>
      </c>
    </row>
    <row r="298" ht="30" customHeight="1" spans="1:27" x14ac:dyDescent="0.25">
      <c r="A298" s="4" t="s">
        <v>146</v>
      </c>
      <c r="B298" s="4" t="s">
        <v>101</v>
      </c>
      <c r="C298" s="4">
        <v>1000</v>
      </c>
      <c r="D298" s="4" t="s">
        <v>79</v>
      </c>
      <c r="E298" s="4">
        <v>8</v>
      </c>
      <c r="F298" s="4">
        <v>62</v>
      </c>
      <c r="G298" s="4">
        <v>692</v>
      </c>
      <c r="H298" s="4">
        <v>359</v>
      </c>
      <c r="I298" s="4">
        <v>630</v>
      </c>
      <c r="J298" s="5">
        <v>0</v>
      </c>
      <c r="K298" s="6">
        <v>505.227898</v>
      </c>
      <c r="L298" s="6">
        <v>511.0798575</v>
      </c>
      <c r="M298" s="6">
        <v>520.93375974</v>
      </c>
      <c r="N298" s="6">
        <v>60454.988003499995</v>
      </c>
      <c r="O298" s="6">
        <v>60459.486847399996</v>
      </c>
      <c r="P298" s="6">
        <v>60465.488951</v>
      </c>
      <c r="Q298" s="6">
        <v>50</v>
      </c>
      <c r="R298" s="6">
        <v>51</v>
      </c>
      <c r="S298" s="6">
        <v>51</v>
      </c>
      <c r="T298" s="6">
        <v>506.1957679797694</v>
      </c>
      <c r="U298" s="6">
        <v>60455.70504340751</v>
      </c>
      <c r="V298" s="6">
        <v>60474.846954700886</v>
      </c>
      <c r="W298" s="4">
        <v>0</v>
      </c>
      <c r="X298" s="4">
        <v>0</v>
      </c>
      <c r="Y298" s="4">
        <v>0</v>
      </c>
      <c r="Z298" s="4" t="s">
        <v>739</v>
      </c>
      <c r="AA298" s="4" t="s">
        <v>740</v>
      </c>
    </row>
    <row r="299" ht="30" customHeight="1" spans="1:27" x14ac:dyDescent="0.25">
      <c r="A299" s="4" t="s">
        <v>146</v>
      </c>
      <c r="B299" s="4" t="s">
        <v>101</v>
      </c>
      <c r="C299" s="4">
        <v>1000</v>
      </c>
      <c r="D299" s="4" t="s">
        <v>79</v>
      </c>
      <c r="E299" s="4">
        <v>9</v>
      </c>
      <c r="F299" s="4">
        <v>62</v>
      </c>
      <c r="G299" s="4">
        <v>692</v>
      </c>
      <c r="H299" s="4">
        <v>358</v>
      </c>
      <c r="I299" s="4">
        <v>630</v>
      </c>
      <c r="J299" s="5">
        <v>0</v>
      </c>
      <c r="K299" s="6">
        <v>505.13994749999995</v>
      </c>
      <c r="L299" s="6">
        <v>511.0256139</v>
      </c>
      <c r="M299" s="6">
        <v>517.28221395</v>
      </c>
      <c r="N299" s="6">
        <v>60455.049966</v>
      </c>
      <c r="O299" s="6">
        <v>60459.855117299994</v>
      </c>
      <c r="P299" s="6">
        <v>60465.13450872</v>
      </c>
      <c r="Q299" s="6">
        <v>50</v>
      </c>
      <c r="R299" s="6">
        <v>51</v>
      </c>
      <c r="S299" s="6">
        <v>51</v>
      </c>
      <c r="T299" s="6">
        <v>506.036579052023</v>
      </c>
      <c r="U299" s="6">
        <v>60455.687540007195</v>
      </c>
      <c r="V299" s="6">
        <v>60474.64772369944</v>
      </c>
      <c r="W299" s="4">
        <v>0</v>
      </c>
      <c r="X299" s="4">
        <v>0</v>
      </c>
      <c r="Y299" s="4">
        <v>0</v>
      </c>
      <c r="Z299" s="4" t="s">
        <v>741</v>
      </c>
      <c r="AA299" s="4" t="s">
        <v>742</v>
      </c>
    </row>
    <row r="300" ht="30" customHeight="1" spans="1:27" x14ac:dyDescent="0.25">
      <c r="A300" s="4" t="s">
        <v>146</v>
      </c>
      <c r="B300" s="4" t="s">
        <v>101</v>
      </c>
      <c r="C300" s="4">
        <v>1000</v>
      </c>
      <c r="D300" s="4" t="s">
        <v>79</v>
      </c>
      <c r="E300" s="4">
        <v>10</v>
      </c>
      <c r="F300" s="4">
        <v>62</v>
      </c>
      <c r="G300" s="4">
        <v>692</v>
      </c>
      <c r="H300" s="4">
        <v>317</v>
      </c>
      <c r="I300" s="4">
        <v>630</v>
      </c>
      <c r="J300" s="5">
        <v>0</v>
      </c>
      <c r="K300" s="6">
        <v>505.25003100000004</v>
      </c>
      <c r="L300" s="6">
        <v>510.8732116</v>
      </c>
      <c r="M300" s="6">
        <v>516.1322325000001</v>
      </c>
      <c r="N300" s="6">
        <v>60454.949164</v>
      </c>
      <c r="O300" s="6">
        <v>60460.289600000004</v>
      </c>
      <c r="P300" s="6">
        <v>60465.52401332</v>
      </c>
      <c r="Q300" s="6">
        <v>50</v>
      </c>
      <c r="R300" s="6">
        <v>51</v>
      </c>
      <c r="S300" s="6">
        <v>51</v>
      </c>
      <c r="T300" s="6">
        <v>505.94366528323644</v>
      </c>
      <c r="U300" s="6">
        <v>60455.81306302891</v>
      </c>
      <c r="V300" s="6">
        <v>60472.89971346378</v>
      </c>
      <c r="W300" s="4">
        <v>0</v>
      </c>
      <c r="X300" s="4">
        <v>0</v>
      </c>
      <c r="Y300" s="4">
        <v>0</v>
      </c>
      <c r="Z300" s="4" t="s">
        <v>743</v>
      </c>
      <c r="AA300" s="4" t="s">
        <v>744</v>
      </c>
    </row>
    <row r="301" ht="30" customHeight="1" spans="1:27" x14ac:dyDescent="0.25">
      <c r="A301" s="4" t="s">
        <v>146</v>
      </c>
      <c r="B301" s="4" t="s">
        <v>101</v>
      </c>
      <c r="C301" s="4">
        <v>1000</v>
      </c>
      <c r="D301" s="4" t="s">
        <v>79</v>
      </c>
      <c r="E301" s="4">
        <v>11</v>
      </c>
      <c r="F301" s="4">
        <v>62</v>
      </c>
      <c r="G301" s="4">
        <v>692</v>
      </c>
      <c r="H301" s="4">
        <v>359</v>
      </c>
      <c r="I301" s="4">
        <v>630</v>
      </c>
      <c r="J301" s="5">
        <v>0</v>
      </c>
      <c r="K301" s="6">
        <v>505.35144049999997</v>
      </c>
      <c r="L301" s="6">
        <v>511.0502236</v>
      </c>
      <c r="M301" s="6">
        <v>518.16477974</v>
      </c>
      <c r="N301" s="6">
        <v>60454.7888285</v>
      </c>
      <c r="O301" s="6">
        <v>60460.0677237</v>
      </c>
      <c r="P301" s="6">
        <v>60467.51841106</v>
      </c>
      <c r="Q301" s="6">
        <v>50</v>
      </c>
      <c r="R301" s="6">
        <v>51</v>
      </c>
      <c r="S301" s="6">
        <v>51</v>
      </c>
      <c r="T301" s="6">
        <v>506.22739020809183</v>
      </c>
      <c r="U301" s="6">
        <v>60455.82195631633</v>
      </c>
      <c r="V301" s="6">
        <v>60475.03367200577</v>
      </c>
      <c r="W301" s="4">
        <v>0</v>
      </c>
      <c r="X301" s="4">
        <v>0</v>
      </c>
      <c r="Y301" s="4">
        <v>0</v>
      </c>
      <c r="Z301" s="4" t="s">
        <v>745</v>
      </c>
      <c r="AA301" s="4" t="s">
        <v>746</v>
      </c>
    </row>
    <row r="302" ht="30" customHeight="1" spans="1:27" x14ac:dyDescent="0.25">
      <c r="A302" s="4" t="s">
        <v>146</v>
      </c>
      <c r="B302" s="4" t="s">
        <v>101</v>
      </c>
      <c r="C302" s="4">
        <v>1000</v>
      </c>
      <c r="D302" s="4" t="s">
        <v>79</v>
      </c>
      <c r="E302" s="4">
        <v>12</v>
      </c>
      <c r="F302" s="4">
        <v>62</v>
      </c>
      <c r="G302" s="4">
        <v>692</v>
      </c>
      <c r="H302" s="4">
        <v>333</v>
      </c>
      <c r="I302" s="4">
        <v>630</v>
      </c>
      <c r="J302" s="5">
        <v>0</v>
      </c>
      <c r="K302" s="6">
        <v>505.2092435</v>
      </c>
      <c r="L302" s="6">
        <v>510.76453779999997</v>
      </c>
      <c r="M302" s="6">
        <v>520.75675266</v>
      </c>
      <c r="N302" s="6">
        <v>60454.689877</v>
      </c>
      <c r="O302" s="6">
        <v>60460.0771434</v>
      </c>
      <c r="P302" s="6">
        <v>60466.40776053</v>
      </c>
      <c r="Q302" s="6">
        <v>50</v>
      </c>
      <c r="R302" s="6">
        <v>51</v>
      </c>
      <c r="S302" s="6">
        <v>51</v>
      </c>
      <c r="T302" s="6">
        <v>506.04271310260157</v>
      </c>
      <c r="U302" s="6">
        <v>60455.68042142328</v>
      </c>
      <c r="V302" s="6">
        <v>60473.52059086419</v>
      </c>
      <c r="W302" s="4">
        <v>0</v>
      </c>
      <c r="X302" s="4">
        <v>0</v>
      </c>
      <c r="Y302" s="4">
        <v>0</v>
      </c>
      <c r="Z302" s="4" t="s">
        <v>747</v>
      </c>
      <c r="AA302" s="4" t="s">
        <v>748</v>
      </c>
    </row>
    <row r="303" ht="30" customHeight="1" spans="1:27" x14ac:dyDescent="0.25">
      <c r="A303" s="4" t="s">
        <v>146</v>
      </c>
      <c r="B303" s="4" t="s">
        <v>101</v>
      </c>
      <c r="C303" s="4">
        <v>1000</v>
      </c>
      <c r="D303" s="4" t="s">
        <v>79</v>
      </c>
      <c r="E303" s="4">
        <v>13</v>
      </c>
      <c r="F303" s="4">
        <v>62</v>
      </c>
      <c r="G303" s="4">
        <v>692</v>
      </c>
      <c r="H303" s="4">
        <v>326</v>
      </c>
      <c r="I303" s="4">
        <v>630</v>
      </c>
      <c r="J303" s="5">
        <v>0</v>
      </c>
      <c r="K303" s="6">
        <v>505.0625565</v>
      </c>
      <c r="L303" s="6">
        <v>511.3016954</v>
      </c>
      <c r="M303" s="6">
        <v>516.26597831</v>
      </c>
      <c r="N303" s="6">
        <v>60454.7373425</v>
      </c>
      <c r="O303" s="6">
        <v>60459.8808224</v>
      </c>
      <c r="P303" s="6">
        <v>60465.37169963</v>
      </c>
      <c r="Q303" s="6">
        <v>50</v>
      </c>
      <c r="R303" s="6">
        <v>51</v>
      </c>
      <c r="S303" s="6">
        <v>51</v>
      </c>
      <c r="T303" s="6">
        <v>505.97952783092467</v>
      </c>
      <c r="U303" s="6">
        <v>60455.691024112726</v>
      </c>
      <c r="V303" s="6">
        <v>60473.25985502898</v>
      </c>
      <c r="W303" s="4">
        <v>0</v>
      </c>
      <c r="X303" s="4">
        <v>0</v>
      </c>
      <c r="Y303" s="4">
        <v>0</v>
      </c>
      <c r="Z303" s="4" t="s">
        <v>749</v>
      </c>
      <c r="AA303" s="4" t="s">
        <v>750</v>
      </c>
    </row>
    <row r="304" ht="30" customHeight="1" spans="1:27" x14ac:dyDescent="0.25">
      <c r="A304" s="4" t="s">
        <v>146</v>
      </c>
      <c r="B304" s="4" t="s">
        <v>101</v>
      </c>
      <c r="C304" s="4">
        <v>1000</v>
      </c>
      <c r="D304" s="4" t="s">
        <v>79</v>
      </c>
      <c r="E304" s="4">
        <v>14</v>
      </c>
      <c r="F304" s="4">
        <v>62</v>
      </c>
      <c r="G304" s="4">
        <v>692</v>
      </c>
      <c r="H304" s="4">
        <v>323</v>
      </c>
      <c r="I304" s="4">
        <v>630</v>
      </c>
      <c r="J304" s="5">
        <v>0</v>
      </c>
      <c r="K304" s="6">
        <v>504.982127</v>
      </c>
      <c r="L304" s="6">
        <v>510.59268660000004</v>
      </c>
      <c r="M304" s="6">
        <v>515.5112509700001</v>
      </c>
      <c r="N304" s="6">
        <v>60454.766241000005</v>
      </c>
      <c r="O304" s="6">
        <v>60459.8052329</v>
      </c>
      <c r="P304" s="6">
        <v>60464.74361469</v>
      </c>
      <c r="Q304" s="6">
        <v>50</v>
      </c>
      <c r="R304" s="6">
        <v>51</v>
      </c>
      <c r="S304" s="6">
        <v>51</v>
      </c>
      <c r="T304" s="6">
        <v>505.7755909595379</v>
      </c>
      <c r="U304" s="6">
        <v>60455.65168392775</v>
      </c>
      <c r="V304" s="6">
        <v>60473.001457820705</v>
      </c>
      <c r="W304" s="4">
        <v>0</v>
      </c>
      <c r="X304" s="4">
        <v>0</v>
      </c>
      <c r="Y304" s="4">
        <v>0</v>
      </c>
      <c r="Z304" s="4" t="s">
        <v>751</v>
      </c>
      <c r="AA304" s="4" t="s">
        <v>752</v>
      </c>
    </row>
    <row r="305" ht="30" customHeight="1" spans="1:27" x14ac:dyDescent="0.25">
      <c r="A305" s="4" t="s">
        <v>146</v>
      </c>
      <c r="B305" s="4" t="s">
        <v>101</v>
      </c>
      <c r="C305" s="4">
        <v>1000</v>
      </c>
      <c r="D305" s="4" t="s">
        <v>79</v>
      </c>
      <c r="E305" s="4">
        <v>15</v>
      </c>
      <c r="F305" s="4">
        <v>62</v>
      </c>
      <c r="G305" s="4">
        <v>692</v>
      </c>
      <c r="H305" s="4">
        <v>357</v>
      </c>
      <c r="I305" s="4">
        <v>630</v>
      </c>
      <c r="J305" s="5">
        <v>0</v>
      </c>
      <c r="K305" s="6">
        <v>504.924834</v>
      </c>
      <c r="L305" s="6">
        <v>510.329145</v>
      </c>
      <c r="M305" s="6">
        <v>515.23103579</v>
      </c>
      <c r="N305" s="6">
        <v>60454.976288000005</v>
      </c>
      <c r="O305" s="6">
        <v>60460.2166134</v>
      </c>
      <c r="P305" s="6">
        <v>60466.11025869</v>
      </c>
      <c r="Q305" s="6">
        <v>50</v>
      </c>
      <c r="R305" s="6">
        <v>51</v>
      </c>
      <c r="S305" s="6">
        <v>51</v>
      </c>
      <c r="T305" s="6">
        <v>505.72351773265893</v>
      </c>
      <c r="U305" s="6">
        <v>60455.89103021825</v>
      </c>
      <c r="V305" s="6">
        <v>60474.86546029485</v>
      </c>
      <c r="W305" s="4">
        <v>0</v>
      </c>
      <c r="X305" s="4">
        <v>0</v>
      </c>
      <c r="Y305" s="4">
        <v>0</v>
      </c>
      <c r="Z305" s="4" t="s">
        <v>753</v>
      </c>
      <c r="AA305" s="4" t="s">
        <v>754</v>
      </c>
    </row>
    <row r="306" ht="30" customHeight="1" spans="1:27" x14ac:dyDescent="0.25">
      <c r="A306" s="4" t="s">
        <v>146</v>
      </c>
      <c r="B306" s="4" t="s">
        <v>101</v>
      </c>
      <c r="C306" s="4">
        <v>2000</v>
      </c>
      <c r="D306" s="4" t="s">
        <v>79</v>
      </c>
      <c r="E306" s="4">
        <v>0</v>
      </c>
      <c r="F306" s="4">
        <v>125</v>
      </c>
      <c r="G306" s="4">
        <v>1395</v>
      </c>
      <c r="H306" s="4">
        <v>705</v>
      </c>
      <c r="I306" s="4">
        <v>1270</v>
      </c>
      <c r="J306" s="5">
        <v>0</v>
      </c>
      <c r="K306" s="6">
        <v>503.659127</v>
      </c>
      <c r="L306" s="6">
        <v>506.5607806</v>
      </c>
      <c r="M306" s="6">
        <v>512.46789866</v>
      </c>
      <c r="N306" s="6">
        <v>60454.138361</v>
      </c>
      <c r="O306" s="6">
        <v>60456.9399094</v>
      </c>
      <c r="P306" s="6">
        <v>60459.89958874</v>
      </c>
      <c r="Q306" s="6">
        <v>50</v>
      </c>
      <c r="R306" s="6">
        <v>51</v>
      </c>
      <c r="S306" s="6">
        <v>51</v>
      </c>
      <c r="T306" s="6">
        <v>504.2286634086022</v>
      </c>
      <c r="U306" s="6">
        <v>60454.569891340456</v>
      </c>
      <c r="V306" s="6">
        <v>60473.63046239066</v>
      </c>
      <c r="W306" s="4">
        <v>0</v>
      </c>
      <c r="X306" s="4">
        <v>0</v>
      </c>
      <c r="Y306" s="4">
        <v>0</v>
      </c>
      <c r="Z306" s="4" t="s">
        <v>755</v>
      </c>
      <c r="AA306" s="4" t="s">
        <v>756</v>
      </c>
    </row>
    <row r="307" ht="30" customHeight="1" spans="1:27" x14ac:dyDescent="0.25">
      <c r="A307" s="4" t="s">
        <v>146</v>
      </c>
      <c r="B307" s="4" t="s">
        <v>101</v>
      </c>
      <c r="C307" s="4">
        <v>2000</v>
      </c>
      <c r="D307" s="4" t="s">
        <v>79</v>
      </c>
      <c r="E307" s="4">
        <v>1</v>
      </c>
      <c r="F307" s="4">
        <v>125</v>
      </c>
      <c r="G307" s="4">
        <v>1396</v>
      </c>
      <c r="H307" s="4">
        <v>697</v>
      </c>
      <c r="I307" s="4">
        <v>1271</v>
      </c>
      <c r="J307" s="5">
        <v>0</v>
      </c>
      <c r="K307" s="6">
        <v>503.6184905</v>
      </c>
      <c r="L307" s="6">
        <v>506.6332735</v>
      </c>
      <c r="M307" s="6">
        <v>512.22561225</v>
      </c>
      <c r="N307" s="6">
        <v>60454.098509</v>
      </c>
      <c r="O307" s="6">
        <v>60456.8277325</v>
      </c>
      <c r="P307" s="6">
        <v>60460.566691</v>
      </c>
      <c r="Q307" s="6">
        <v>50</v>
      </c>
      <c r="R307" s="6">
        <v>51</v>
      </c>
      <c r="S307" s="6">
        <v>51</v>
      </c>
      <c r="T307" s="6">
        <v>504.1664350931229</v>
      </c>
      <c r="U307" s="6">
        <v>60454.53794791907</v>
      </c>
      <c r="V307" s="6">
        <v>60473.251344724915</v>
      </c>
      <c r="W307" s="4">
        <v>0</v>
      </c>
      <c r="X307" s="4">
        <v>0</v>
      </c>
      <c r="Y307" s="4">
        <v>0</v>
      </c>
      <c r="Z307" s="4" t="s">
        <v>757</v>
      </c>
      <c r="AA307" s="4" t="s">
        <v>758</v>
      </c>
    </row>
    <row r="308" ht="30" customHeight="1" spans="1:27" x14ac:dyDescent="0.25">
      <c r="A308" s="4" t="s">
        <v>146</v>
      </c>
      <c r="B308" s="4" t="s">
        <v>101</v>
      </c>
      <c r="C308" s="4">
        <v>2000</v>
      </c>
      <c r="D308" s="4" t="s">
        <v>79</v>
      </c>
      <c r="E308" s="4">
        <v>2</v>
      </c>
      <c r="F308" s="4">
        <v>125</v>
      </c>
      <c r="G308" s="4">
        <v>1396</v>
      </c>
      <c r="H308" s="4">
        <v>709</v>
      </c>
      <c r="I308" s="4">
        <v>1271</v>
      </c>
      <c r="J308" s="5">
        <v>0</v>
      </c>
      <c r="K308" s="6">
        <v>503.5617515</v>
      </c>
      <c r="L308" s="6">
        <v>506.585461</v>
      </c>
      <c r="M308" s="6">
        <v>512.6983156</v>
      </c>
      <c r="N308" s="6">
        <v>60454.1114795</v>
      </c>
      <c r="O308" s="6">
        <v>60456.946219</v>
      </c>
      <c r="P308" s="6">
        <v>60460.5017212</v>
      </c>
      <c r="Q308" s="6">
        <v>50</v>
      </c>
      <c r="R308" s="6">
        <v>51</v>
      </c>
      <c r="S308" s="6">
        <v>51</v>
      </c>
      <c r="T308" s="6">
        <v>504.14788329226434</v>
      </c>
      <c r="U308" s="6">
        <v>60454.609270342444</v>
      </c>
      <c r="V308" s="6">
        <v>60473.72114225937</v>
      </c>
      <c r="W308" s="4">
        <v>0</v>
      </c>
      <c r="X308" s="4">
        <v>0</v>
      </c>
      <c r="Y308" s="4">
        <v>0</v>
      </c>
      <c r="Z308" s="4" t="s">
        <v>759</v>
      </c>
      <c r="AA308" s="4" t="s">
        <v>760</v>
      </c>
    </row>
    <row r="309" ht="30" customHeight="1" spans="1:27" x14ac:dyDescent="0.25">
      <c r="A309" s="4" t="s">
        <v>146</v>
      </c>
      <c r="B309" s="4" t="s">
        <v>101</v>
      </c>
      <c r="C309" s="4">
        <v>2000</v>
      </c>
      <c r="D309" s="4" t="s">
        <v>79</v>
      </c>
      <c r="E309" s="4">
        <v>3</v>
      </c>
      <c r="F309" s="4">
        <v>125</v>
      </c>
      <c r="G309" s="4">
        <v>1396</v>
      </c>
      <c r="H309" s="4">
        <v>681</v>
      </c>
      <c r="I309" s="4">
        <v>1271</v>
      </c>
      <c r="J309" s="5">
        <v>0</v>
      </c>
      <c r="K309" s="6">
        <v>503.62730350000004</v>
      </c>
      <c r="L309" s="6">
        <v>506.444818</v>
      </c>
      <c r="M309" s="6">
        <v>511.48773475</v>
      </c>
      <c r="N309" s="6">
        <v>60454.2007705</v>
      </c>
      <c r="O309" s="6">
        <v>60456.8906895</v>
      </c>
      <c r="P309" s="6">
        <v>60460.1644608</v>
      </c>
      <c r="Q309" s="6">
        <v>50</v>
      </c>
      <c r="R309" s="6">
        <v>51</v>
      </c>
      <c r="S309" s="6">
        <v>51</v>
      </c>
      <c r="T309" s="6">
        <v>504.1854352972785</v>
      </c>
      <c r="U309" s="6">
        <v>60454.60193166976</v>
      </c>
      <c r="V309" s="6">
        <v>60472.83994422058</v>
      </c>
      <c r="W309" s="4">
        <v>0</v>
      </c>
      <c r="X309" s="4">
        <v>0</v>
      </c>
      <c r="Y309" s="4">
        <v>0</v>
      </c>
      <c r="Z309" s="4" t="s">
        <v>761</v>
      </c>
      <c r="AA309" s="4" t="s">
        <v>762</v>
      </c>
    </row>
    <row r="310" ht="30" customHeight="1" spans="1:27" x14ac:dyDescent="0.25">
      <c r="A310" s="4" t="s">
        <v>146</v>
      </c>
      <c r="B310" s="4" t="s">
        <v>101</v>
      </c>
      <c r="C310" s="4">
        <v>2000</v>
      </c>
      <c r="D310" s="4" t="s">
        <v>79</v>
      </c>
      <c r="E310" s="4">
        <v>4</v>
      </c>
      <c r="F310" s="4">
        <v>125</v>
      </c>
      <c r="G310" s="4">
        <v>1396</v>
      </c>
      <c r="H310" s="4">
        <v>724</v>
      </c>
      <c r="I310" s="4">
        <v>1271</v>
      </c>
      <c r="J310" s="5">
        <v>0</v>
      </c>
      <c r="K310" s="6">
        <v>503.59180100000003</v>
      </c>
      <c r="L310" s="6">
        <v>506.50310049999996</v>
      </c>
      <c r="M310" s="6">
        <v>515.0791736499999</v>
      </c>
      <c r="N310" s="6">
        <v>60454.152530499996</v>
      </c>
      <c r="O310" s="6">
        <v>60456.957083500005</v>
      </c>
      <c r="P310" s="6">
        <v>60462.589298499995</v>
      </c>
      <c r="Q310" s="6">
        <v>50</v>
      </c>
      <c r="R310" s="6">
        <v>51</v>
      </c>
      <c r="S310" s="6">
        <v>51</v>
      </c>
      <c r="T310" s="6">
        <v>504.23022384527127</v>
      </c>
      <c r="U310" s="6">
        <v>60454.656650348785</v>
      </c>
      <c r="V310" s="6">
        <v>60474.09670505231</v>
      </c>
      <c r="W310" s="4">
        <v>0</v>
      </c>
      <c r="X310" s="4">
        <v>0</v>
      </c>
      <c r="Y310" s="4">
        <v>0</v>
      </c>
      <c r="Z310" s="4" t="s">
        <v>763</v>
      </c>
      <c r="AA310" s="4" t="s">
        <v>764</v>
      </c>
    </row>
    <row r="311" ht="30" customHeight="1" spans="1:27" x14ac:dyDescent="0.25">
      <c r="A311" s="4" t="s">
        <v>146</v>
      </c>
      <c r="B311" s="4" t="s">
        <v>101</v>
      </c>
      <c r="C311" s="4">
        <v>2000</v>
      </c>
      <c r="D311" s="4" t="s">
        <v>79</v>
      </c>
      <c r="E311" s="4">
        <v>5</v>
      </c>
      <c r="F311" s="4">
        <v>125</v>
      </c>
      <c r="G311" s="4">
        <v>1396</v>
      </c>
      <c r="H311" s="4">
        <v>701</v>
      </c>
      <c r="I311" s="4">
        <v>1271</v>
      </c>
      <c r="J311" s="5">
        <v>0</v>
      </c>
      <c r="K311" s="6">
        <v>503.62425</v>
      </c>
      <c r="L311" s="6">
        <v>506.621763</v>
      </c>
      <c r="M311" s="6">
        <v>513.3662840000001</v>
      </c>
      <c r="N311" s="6">
        <v>60454.0611985</v>
      </c>
      <c r="O311" s="6">
        <v>60456.8826185</v>
      </c>
      <c r="P311" s="6">
        <v>60460.8527704</v>
      </c>
      <c r="Q311" s="6">
        <v>50</v>
      </c>
      <c r="R311" s="6">
        <v>51</v>
      </c>
      <c r="S311" s="6">
        <v>51</v>
      </c>
      <c r="T311" s="6">
        <v>504.22178780658913</v>
      </c>
      <c r="U311" s="6">
        <v>60454.56689286392</v>
      </c>
      <c r="V311" s="6">
        <v>60473.56939070128</v>
      </c>
      <c r="W311" s="4">
        <v>0</v>
      </c>
      <c r="X311" s="4">
        <v>0</v>
      </c>
      <c r="Y311" s="4">
        <v>0</v>
      </c>
      <c r="Z311" s="4" t="s">
        <v>765</v>
      </c>
      <c r="AA311" s="4" t="s">
        <v>766</v>
      </c>
    </row>
    <row r="312" ht="30" customHeight="1" spans="1:27" x14ac:dyDescent="0.25">
      <c r="A312" s="4" t="s">
        <v>146</v>
      </c>
      <c r="B312" s="4" t="s">
        <v>101</v>
      </c>
      <c r="C312" s="4">
        <v>2000</v>
      </c>
      <c r="D312" s="4" t="s">
        <v>79</v>
      </c>
      <c r="E312" s="4">
        <v>6</v>
      </c>
      <c r="F312" s="4">
        <v>125</v>
      </c>
      <c r="G312" s="4">
        <v>1395</v>
      </c>
      <c r="H312" s="4">
        <v>679</v>
      </c>
      <c r="I312" s="4">
        <v>1270</v>
      </c>
      <c r="J312" s="5">
        <v>0</v>
      </c>
      <c r="K312" s="6">
        <v>503.560057</v>
      </c>
      <c r="L312" s="6">
        <v>506.5311144</v>
      </c>
      <c r="M312" s="6">
        <v>511.5627475</v>
      </c>
      <c r="N312" s="6">
        <v>60454.141218</v>
      </c>
      <c r="O312" s="6">
        <v>60456.767233800005</v>
      </c>
      <c r="P312" s="6">
        <v>60460.09850332</v>
      </c>
      <c r="Q312" s="6">
        <v>50</v>
      </c>
      <c r="R312" s="6">
        <v>51</v>
      </c>
      <c r="S312" s="6">
        <v>51</v>
      </c>
      <c r="T312" s="6">
        <v>504.1257169913974</v>
      </c>
      <c r="U312" s="6">
        <v>60454.52929989323</v>
      </c>
      <c r="V312" s="6">
        <v>60472.74206415619</v>
      </c>
      <c r="W312" s="4">
        <v>0</v>
      </c>
      <c r="X312" s="4">
        <v>0</v>
      </c>
      <c r="Y312" s="4">
        <v>0</v>
      </c>
      <c r="Z312" s="4" t="s">
        <v>767</v>
      </c>
      <c r="AA312" s="4" t="s">
        <v>768</v>
      </c>
    </row>
    <row r="313" ht="30" customHeight="1" spans="1:27" x14ac:dyDescent="0.25">
      <c r="A313" s="4" t="s">
        <v>146</v>
      </c>
      <c r="B313" s="4" t="s">
        <v>101</v>
      </c>
      <c r="C313" s="4">
        <v>2000</v>
      </c>
      <c r="D313" s="4" t="s">
        <v>79</v>
      </c>
      <c r="E313" s="4">
        <v>7</v>
      </c>
      <c r="F313" s="4">
        <v>125</v>
      </c>
      <c r="G313" s="4">
        <v>1395</v>
      </c>
      <c r="H313" s="4">
        <v>677</v>
      </c>
      <c r="I313" s="4">
        <v>1270</v>
      </c>
      <c r="J313" s="5">
        <v>0</v>
      </c>
      <c r="K313" s="6">
        <v>503.56492</v>
      </c>
      <c r="L313" s="6">
        <v>506.495612</v>
      </c>
      <c r="M313" s="6">
        <v>510.8197958</v>
      </c>
      <c r="N313" s="6">
        <v>60454.120338</v>
      </c>
      <c r="O313" s="6">
        <v>60457.1024092</v>
      </c>
      <c r="P313" s="6">
        <v>60461.3375411</v>
      </c>
      <c r="Q313" s="6">
        <v>50</v>
      </c>
      <c r="R313" s="6">
        <v>51</v>
      </c>
      <c r="S313" s="6">
        <v>51</v>
      </c>
      <c r="T313" s="6">
        <v>504.0865322043012</v>
      </c>
      <c r="U313" s="6">
        <v>60454.666428293895</v>
      </c>
      <c r="V313" s="6">
        <v>60472.95780182647</v>
      </c>
      <c r="W313" s="4">
        <v>0</v>
      </c>
      <c r="X313" s="4">
        <v>0</v>
      </c>
      <c r="Y313" s="4">
        <v>0</v>
      </c>
      <c r="Z313" s="4" t="s">
        <v>769</v>
      </c>
      <c r="AA313" s="4" t="s">
        <v>770</v>
      </c>
    </row>
    <row r="314" ht="30" customHeight="1" spans="1:27" x14ac:dyDescent="0.25">
      <c r="A314" s="4" t="s">
        <v>146</v>
      </c>
      <c r="B314" s="4" t="s">
        <v>101</v>
      </c>
      <c r="C314" s="4">
        <v>2000</v>
      </c>
      <c r="D314" s="4" t="s">
        <v>79</v>
      </c>
      <c r="E314" s="4">
        <v>8</v>
      </c>
      <c r="F314" s="4">
        <v>125</v>
      </c>
      <c r="G314" s="4">
        <v>1395</v>
      </c>
      <c r="H314" s="4">
        <v>734</v>
      </c>
      <c r="I314" s="4">
        <v>1270</v>
      </c>
      <c r="J314" s="5">
        <v>0</v>
      </c>
      <c r="K314" s="6">
        <v>503.567354</v>
      </c>
      <c r="L314" s="6">
        <v>506.3778086</v>
      </c>
      <c r="M314" s="6">
        <v>511.20276182</v>
      </c>
      <c r="N314" s="6">
        <v>60454.171928</v>
      </c>
      <c r="O314" s="6">
        <v>60457.1313002</v>
      </c>
      <c r="P314" s="6">
        <v>60460.97224792</v>
      </c>
      <c r="Q314" s="6">
        <v>50</v>
      </c>
      <c r="R314" s="6">
        <v>51</v>
      </c>
      <c r="S314" s="6">
        <v>51</v>
      </c>
      <c r="T314" s="6">
        <v>504.0929440566312</v>
      </c>
      <c r="U314" s="6">
        <v>60454.657704231475</v>
      </c>
      <c r="V314" s="6">
        <v>60474.52803325811</v>
      </c>
      <c r="W314" s="4">
        <v>0</v>
      </c>
      <c r="X314" s="4">
        <v>0</v>
      </c>
      <c r="Y314" s="4">
        <v>0</v>
      </c>
      <c r="Z314" s="4" t="s">
        <v>771</v>
      </c>
      <c r="AA314" s="4" t="s">
        <v>772</v>
      </c>
    </row>
    <row r="315" ht="30" customHeight="1" spans="1:27" x14ac:dyDescent="0.25">
      <c r="A315" s="4" t="s">
        <v>146</v>
      </c>
      <c r="B315" s="4" t="s">
        <v>101</v>
      </c>
      <c r="C315" s="4">
        <v>2000</v>
      </c>
      <c r="D315" s="4" t="s">
        <v>79</v>
      </c>
      <c r="E315" s="4">
        <v>9</v>
      </c>
      <c r="F315" s="4">
        <v>125</v>
      </c>
      <c r="G315" s="4">
        <v>1395</v>
      </c>
      <c r="H315" s="4">
        <v>718</v>
      </c>
      <c r="I315" s="4">
        <v>1270</v>
      </c>
      <c r="J315" s="5">
        <v>0</v>
      </c>
      <c r="K315" s="6">
        <v>503.591754</v>
      </c>
      <c r="L315" s="6">
        <v>506.3170866</v>
      </c>
      <c r="M315" s="6">
        <v>511.95536066</v>
      </c>
      <c r="N315" s="6">
        <v>60454.072714</v>
      </c>
      <c r="O315" s="6">
        <v>60456.8854578</v>
      </c>
      <c r="P315" s="6">
        <v>60459.559491199994</v>
      </c>
      <c r="Q315" s="6">
        <v>50</v>
      </c>
      <c r="R315" s="6">
        <v>51</v>
      </c>
      <c r="S315" s="6">
        <v>51</v>
      </c>
      <c r="T315" s="6">
        <v>504.0595741827944</v>
      </c>
      <c r="U315" s="6">
        <v>60454.516660524816</v>
      </c>
      <c r="V315" s="6">
        <v>60473.91388568882</v>
      </c>
      <c r="W315" s="4">
        <v>0</v>
      </c>
      <c r="X315" s="4">
        <v>0</v>
      </c>
      <c r="Y315" s="4">
        <v>0</v>
      </c>
      <c r="Z315" s="4" t="s">
        <v>773</v>
      </c>
      <c r="AA315" s="4" t="s">
        <v>774</v>
      </c>
    </row>
    <row r="316" ht="30" customHeight="1" spans="1:27" x14ac:dyDescent="0.25">
      <c r="A316" s="4" t="s">
        <v>146</v>
      </c>
      <c r="B316" s="4" t="s">
        <v>101</v>
      </c>
      <c r="C316" s="4">
        <v>2000</v>
      </c>
      <c r="D316" s="4" t="s">
        <v>79</v>
      </c>
      <c r="E316" s="4">
        <v>10</v>
      </c>
      <c r="F316" s="4">
        <v>125</v>
      </c>
      <c r="G316" s="4">
        <v>1395</v>
      </c>
      <c r="H316" s="4">
        <v>655</v>
      </c>
      <c r="I316" s="4">
        <v>1270</v>
      </c>
      <c r="J316" s="5">
        <v>0</v>
      </c>
      <c r="K316" s="6">
        <v>503.57261</v>
      </c>
      <c r="L316" s="6">
        <v>506.4712722</v>
      </c>
      <c r="M316" s="6">
        <v>510.90323474</v>
      </c>
      <c r="N316" s="6">
        <v>60454.153281</v>
      </c>
      <c r="O316" s="6">
        <v>60456.805533599996</v>
      </c>
      <c r="P316" s="6">
        <v>60461.0873078</v>
      </c>
      <c r="Q316" s="6">
        <v>50</v>
      </c>
      <c r="R316" s="6">
        <v>51</v>
      </c>
      <c r="S316" s="6">
        <v>51</v>
      </c>
      <c r="T316" s="6">
        <v>504.1700574530474</v>
      </c>
      <c r="U316" s="6">
        <v>60454.570683660204</v>
      </c>
      <c r="V316" s="6">
        <v>60472.28217374982</v>
      </c>
      <c r="W316" s="4">
        <v>0</v>
      </c>
      <c r="X316" s="4">
        <v>0</v>
      </c>
      <c r="Y316" s="4">
        <v>0</v>
      </c>
      <c r="Z316" s="4" t="s">
        <v>775</v>
      </c>
      <c r="AA316" s="4" t="s">
        <v>776</v>
      </c>
    </row>
    <row r="317" ht="30" customHeight="1" spans="1:27" x14ac:dyDescent="0.25">
      <c r="A317" s="4" t="s">
        <v>146</v>
      </c>
      <c r="B317" s="4" t="s">
        <v>101</v>
      </c>
      <c r="C317" s="4">
        <v>2000</v>
      </c>
      <c r="D317" s="4" t="s">
        <v>79</v>
      </c>
      <c r="E317" s="4">
        <v>11</v>
      </c>
      <c r="F317" s="4">
        <v>125</v>
      </c>
      <c r="G317" s="4">
        <v>1395</v>
      </c>
      <c r="H317" s="4">
        <v>695</v>
      </c>
      <c r="I317" s="4">
        <v>1270</v>
      </c>
      <c r="J317" s="5">
        <v>0</v>
      </c>
      <c r="K317" s="6">
        <v>503.570014</v>
      </c>
      <c r="L317" s="6">
        <v>506.5484002</v>
      </c>
      <c r="M317" s="6">
        <v>515.0986469599999</v>
      </c>
      <c r="N317" s="6">
        <v>60454.008099</v>
      </c>
      <c r="O317" s="6">
        <v>60456.7297872</v>
      </c>
      <c r="P317" s="6">
        <v>60460.8618785</v>
      </c>
      <c r="Q317" s="6">
        <v>50</v>
      </c>
      <c r="R317" s="6">
        <v>51</v>
      </c>
      <c r="S317" s="6">
        <v>51</v>
      </c>
      <c r="T317" s="6">
        <v>504.20821890394166</v>
      </c>
      <c r="U317" s="6">
        <v>60454.4718959513</v>
      </c>
      <c r="V317" s="6">
        <v>60473.29094205945</v>
      </c>
      <c r="W317" s="4">
        <v>0</v>
      </c>
      <c r="X317" s="4">
        <v>0</v>
      </c>
      <c r="Y317" s="4">
        <v>0</v>
      </c>
      <c r="Z317" s="4" t="s">
        <v>777</v>
      </c>
      <c r="AA317" s="4" t="s">
        <v>778</v>
      </c>
    </row>
    <row r="318" ht="30" customHeight="1" spans="1:27" x14ac:dyDescent="0.25">
      <c r="A318" s="4" t="s">
        <v>146</v>
      </c>
      <c r="B318" s="4" t="s">
        <v>101</v>
      </c>
      <c r="C318" s="4">
        <v>2000</v>
      </c>
      <c r="D318" s="4" t="s">
        <v>79</v>
      </c>
      <c r="E318" s="4">
        <v>12</v>
      </c>
      <c r="F318" s="4">
        <v>125</v>
      </c>
      <c r="G318" s="4">
        <v>1395</v>
      </c>
      <c r="H318" s="4">
        <v>718</v>
      </c>
      <c r="I318" s="4">
        <v>1270</v>
      </c>
      <c r="J318" s="5">
        <v>0</v>
      </c>
      <c r="K318" s="6">
        <v>503.701086</v>
      </c>
      <c r="L318" s="6">
        <v>506.639776</v>
      </c>
      <c r="M318" s="6">
        <v>511.26709882</v>
      </c>
      <c r="N318" s="6">
        <v>60454.159163</v>
      </c>
      <c r="O318" s="6">
        <v>60457.093475199996</v>
      </c>
      <c r="P318" s="6">
        <v>60461.53150548</v>
      </c>
      <c r="Q318" s="6">
        <v>50</v>
      </c>
      <c r="R318" s="6">
        <v>51</v>
      </c>
      <c r="S318" s="6">
        <v>51</v>
      </c>
      <c r="T318" s="6">
        <v>504.1670256415776</v>
      </c>
      <c r="U318" s="6">
        <v>60454.70375446176</v>
      </c>
      <c r="V318" s="6">
        <v>60474.342906621474</v>
      </c>
      <c r="W318" s="4">
        <v>0</v>
      </c>
      <c r="X318" s="4">
        <v>0</v>
      </c>
      <c r="Y318" s="4">
        <v>0</v>
      </c>
      <c r="Z318" s="4" t="s">
        <v>779</v>
      </c>
      <c r="AA318" s="4" t="s">
        <v>780</v>
      </c>
    </row>
    <row r="319" ht="30" customHeight="1" spans="1:27" x14ac:dyDescent="0.25">
      <c r="A319" s="4" t="s">
        <v>146</v>
      </c>
      <c r="B319" s="4" t="s">
        <v>101</v>
      </c>
      <c r="C319" s="4">
        <v>2000</v>
      </c>
      <c r="D319" s="4" t="s">
        <v>79</v>
      </c>
      <c r="E319" s="4">
        <v>13</v>
      </c>
      <c r="F319" s="4">
        <v>125</v>
      </c>
      <c r="G319" s="4">
        <v>1395</v>
      </c>
      <c r="H319" s="4">
        <v>703</v>
      </c>
      <c r="I319" s="4">
        <v>1270</v>
      </c>
      <c r="J319" s="5">
        <v>0</v>
      </c>
      <c r="K319" s="6">
        <v>503.584387</v>
      </c>
      <c r="L319" s="6">
        <v>506.2478578</v>
      </c>
      <c r="M319" s="6">
        <v>510.66169956</v>
      </c>
      <c r="N319" s="6">
        <v>60454.120997</v>
      </c>
      <c r="O319" s="6">
        <v>60456.8241898</v>
      </c>
      <c r="P319" s="6">
        <v>60460.7143107</v>
      </c>
      <c r="Q319" s="6">
        <v>50</v>
      </c>
      <c r="R319" s="6">
        <v>51</v>
      </c>
      <c r="S319" s="6">
        <v>51</v>
      </c>
      <c r="T319" s="6">
        <v>504.079618466667</v>
      </c>
      <c r="U319" s="6">
        <v>60454.543025750485</v>
      </c>
      <c r="V319" s="6">
        <v>60473.51752927959</v>
      </c>
      <c r="W319" s="4">
        <v>0</v>
      </c>
      <c r="X319" s="4">
        <v>0</v>
      </c>
      <c r="Y319" s="4">
        <v>0</v>
      </c>
      <c r="Z319" s="4" t="s">
        <v>781</v>
      </c>
      <c r="AA319" s="4" t="s">
        <v>782</v>
      </c>
    </row>
    <row r="320" ht="30" customHeight="1" spans="1:27" x14ac:dyDescent="0.25">
      <c r="A320" s="4" t="s">
        <v>146</v>
      </c>
      <c r="B320" s="4" t="s">
        <v>101</v>
      </c>
      <c r="C320" s="4">
        <v>2000</v>
      </c>
      <c r="D320" s="4" t="s">
        <v>79</v>
      </c>
      <c r="E320" s="4">
        <v>14</v>
      </c>
      <c r="F320" s="4">
        <v>125</v>
      </c>
      <c r="G320" s="4">
        <v>1395</v>
      </c>
      <c r="H320" s="4">
        <v>651</v>
      </c>
      <c r="I320" s="4">
        <v>1271</v>
      </c>
      <c r="J320" s="5">
        <v>0</v>
      </c>
      <c r="K320" s="6">
        <v>503.616012</v>
      </c>
      <c r="L320" s="6">
        <v>506.419037</v>
      </c>
      <c r="M320" s="6">
        <v>511.48769117999996</v>
      </c>
      <c r="N320" s="6">
        <v>60454.174119</v>
      </c>
      <c r="O320" s="6">
        <v>60456.9700222</v>
      </c>
      <c r="P320" s="6">
        <v>60460.33010256</v>
      </c>
      <c r="Q320" s="6">
        <v>50</v>
      </c>
      <c r="R320" s="6">
        <v>51</v>
      </c>
      <c r="S320" s="6">
        <v>51</v>
      </c>
      <c r="T320" s="6">
        <v>504.08076130035823</v>
      </c>
      <c r="U320" s="6">
        <v>60454.60299288611</v>
      </c>
      <c r="V320" s="6">
        <v>60472.20735351762</v>
      </c>
      <c r="W320" s="4">
        <v>0</v>
      </c>
      <c r="X320" s="4">
        <v>0</v>
      </c>
      <c r="Y320" s="4">
        <v>0</v>
      </c>
      <c r="Z320" s="4" t="s">
        <v>783</v>
      </c>
      <c r="AA320" s="4" t="s">
        <v>784</v>
      </c>
    </row>
    <row r="321" ht="30" customHeight="1" spans="1:27" x14ac:dyDescent="0.25">
      <c r="A321" s="4" t="s">
        <v>146</v>
      </c>
      <c r="B321" s="4" t="s">
        <v>101</v>
      </c>
      <c r="C321" s="4">
        <v>2000</v>
      </c>
      <c r="D321" s="4" t="s">
        <v>79</v>
      </c>
      <c r="E321" s="4">
        <v>15</v>
      </c>
      <c r="F321" s="4">
        <v>125</v>
      </c>
      <c r="G321" s="4">
        <v>1395</v>
      </c>
      <c r="H321" s="4">
        <v>733</v>
      </c>
      <c r="I321" s="4">
        <v>1270</v>
      </c>
      <c r="J321" s="5">
        <v>0</v>
      </c>
      <c r="K321" s="6">
        <v>503.748126</v>
      </c>
      <c r="L321" s="6">
        <v>506.5529096</v>
      </c>
      <c r="M321" s="6">
        <v>512.24913018</v>
      </c>
      <c r="N321" s="6">
        <v>60454.108644</v>
      </c>
      <c r="O321" s="6">
        <v>60456.806902799995</v>
      </c>
      <c r="P321" s="6">
        <v>60460.9493306</v>
      </c>
      <c r="Q321" s="6">
        <v>50</v>
      </c>
      <c r="R321" s="6">
        <v>51</v>
      </c>
      <c r="S321" s="6">
        <v>51</v>
      </c>
      <c r="T321" s="6">
        <v>504.2381934738354</v>
      </c>
      <c r="U321" s="6">
        <v>60454.59996703231</v>
      </c>
      <c r="V321" s="6">
        <v>60474.26370480999</v>
      </c>
      <c r="W321" s="4">
        <v>0</v>
      </c>
      <c r="X321" s="4">
        <v>0</v>
      </c>
      <c r="Y321" s="4">
        <v>0</v>
      </c>
      <c r="Z321" s="4" t="s">
        <v>785</v>
      </c>
      <c r="AA321" s="4" t="s">
        <v>786</v>
      </c>
    </row>
    <row r="322" ht="30" customHeight="1" spans="1:27" x14ac:dyDescent="0.25">
      <c r="A322" s="4" t="s">
        <v>146</v>
      </c>
      <c r="B322" s="4" t="s">
        <v>101</v>
      </c>
      <c r="C322" s="4">
        <v>5000</v>
      </c>
      <c r="D322" s="4" t="s">
        <v>79</v>
      </c>
      <c r="E322" s="4">
        <v>0</v>
      </c>
      <c r="F322" s="4">
        <v>313</v>
      </c>
      <c r="G322" s="4">
        <v>3494</v>
      </c>
      <c r="H322" s="4">
        <v>1756</v>
      </c>
      <c r="I322" s="4">
        <v>3181</v>
      </c>
      <c r="J322" s="5">
        <v>0</v>
      </c>
      <c r="K322" s="6">
        <v>502.6760345</v>
      </c>
      <c r="L322" s="6">
        <v>503.9119019</v>
      </c>
      <c r="M322" s="6">
        <v>506.89518856</v>
      </c>
      <c r="N322" s="6">
        <v>60453.7132905</v>
      </c>
      <c r="O322" s="6">
        <v>60455.1843177</v>
      </c>
      <c r="P322" s="6">
        <v>60457.73285211</v>
      </c>
      <c r="Q322" s="6">
        <v>50</v>
      </c>
      <c r="R322" s="6">
        <v>51</v>
      </c>
      <c r="S322" s="6">
        <v>51</v>
      </c>
      <c r="T322" s="6">
        <v>502.97256603033725</v>
      </c>
      <c r="U322" s="6">
        <v>60454.03098281177</v>
      </c>
      <c r="V322" s="6">
        <v>60473.925109153904</v>
      </c>
      <c r="W322" s="4">
        <v>0</v>
      </c>
      <c r="X322" s="4">
        <v>0</v>
      </c>
      <c r="Y322" s="4">
        <v>0</v>
      </c>
      <c r="Z322" s="4" t="s">
        <v>787</v>
      </c>
      <c r="AA322" s="4" t="s">
        <v>788</v>
      </c>
    </row>
    <row r="323" ht="30" customHeight="1" spans="1:27" x14ac:dyDescent="0.25">
      <c r="A323" s="4" t="s">
        <v>146</v>
      </c>
      <c r="B323" s="4" t="s">
        <v>101</v>
      </c>
      <c r="C323" s="4">
        <v>5000</v>
      </c>
      <c r="D323" s="4" t="s">
        <v>79</v>
      </c>
      <c r="E323" s="4">
        <v>1</v>
      </c>
      <c r="F323" s="4">
        <v>313</v>
      </c>
      <c r="G323" s="4">
        <v>3493</v>
      </c>
      <c r="H323" s="4">
        <v>1793</v>
      </c>
      <c r="I323" s="4">
        <v>3180</v>
      </c>
      <c r="J323" s="5">
        <v>0</v>
      </c>
      <c r="K323" s="6">
        <v>502.672028</v>
      </c>
      <c r="L323" s="6">
        <v>503.8874348</v>
      </c>
      <c r="M323" s="6">
        <v>508.22614039999996</v>
      </c>
      <c r="N323" s="6">
        <v>60453.592384</v>
      </c>
      <c r="O323" s="6">
        <v>60455.0794818</v>
      </c>
      <c r="P323" s="6">
        <v>60457.50903036</v>
      </c>
      <c r="Q323" s="6">
        <v>50</v>
      </c>
      <c r="R323" s="6">
        <v>51</v>
      </c>
      <c r="S323" s="6">
        <v>51</v>
      </c>
      <c r="T323" s="6">
        <v>502.91769162610944</v>
      </c>
      <c r="U323" s="6">
        <v>60453.89467429798</v>
      </c>
      <c r="V323" s="6">
        <v>60473.80771036561</v>
      </c>
      <c r="W323" s="4">
        <v>0</v>
      </c>
      <c r="X323" s="4">
        <v>0</v>
      </c>
      <c r="Y323" s="4">
        <v>0</v>
      </c>
      <c r="Z323" s="4" t="s">
        <v>789</v>
      </c>
      <c r="AA323" s="4" t="s">
        <v>790</v>
      </c>
    </row>
    <row r="324" ht="30" customHeight="1" spans="1:27" x14ac:dyDescent="0.25">
      <c r="A324" s="4" t="s">
        <v>146</v>
      </c>
      <c r="B324" s="4" t="s">
        <v>101</v>
      </c>
      <c r="C324" s="4">
        <v>5000</v>
      </c>
      <c r="D324" s="4" t="s">
        <v>79</v>
      </c>
      <c r="E324" s="4">
        <v>2</v>
      </c>
      <c r="F324" s="4">
        <v>313</v>
      </c>
      <c r="G324" s="4">
        <v>3493</v>
      </c>
      <c r="H324" s="4">
        <v>1686</v>
      </c>
      <c r="I324" s="4">
        <v>3180</v>
      </c>
      <c r="J324" s="5">
        <v>0</v>
      </c>
      <c r="K324" s="6">
        <v>502.70183</v>
      </c>
      <c r="L324" s="6">
        <v>503.9683488</v>
      </c>
      <c r="M324" s="6">
        <v>508.40118044</v>
      </c>
      <c r="N324" s="6">
        <v>60453.609425</v>
      </c>
      <c r="O324" s="6">
        <v>60455.1005894</v>
      </c>
      <c r="P324" s="6">
        <v>60457.53019528</v>
      </c>
      <c r="Q324" s="6">
        <v>50</v>
      </c>
      <c r="R324" s="6">
        <v>51</v>
      </c>
      <c r="S324" s="6">
        <v>51</v>
      </c>
      <c r="T324" s="6">
        <v>502.87953210277686</v>
      </c>
      <c r="U324" s="6">
        <v>60453.8185860888</v>
      </c>
      <c r="V324" s="6">
        <v>60472.59105194884</v>
      </c>
      <c r="W324" s="4">
        <v>0</v>
      </c>
      <c r="X324" s="4">
        <v>0</v>
      </c>
      <c r="Y324" s="4">
        <v>0</v>
      </c>
      <c r="Z324" s="4" t="s">
        <v>791</v>
      </c>
      <c r="AA324" s="4" t="s">
        <v>792</v>
      </c>
    </row>
    <row r="325" ht="30" customHeight="1" spans="1:27" x14ac:dyDescent="0.25">
      <c r="A325" s="4" t="s">
        <v>146</v>
      </c>
      <c r="B325" s="4" t="s">
        <v>101</v>
      </c>
      <c r="C325" s="4">
        <v>5000</v>
      </c>
      <c r="D325" s="4" t="s">
        <v>79</v>
      </c>
      <c r="E325" s="4">
        <v>3</v>
      </c>
      <c r="F325" s="4">
        <v>313</v>
      </c>
      <c r="G325" s="4">
        <v>3493</v>
      </c>
      <c r="H325" s="4">
        <v>1715</v>
      </c>
      <c r="I325" s="4">
        <v>3180</v>
      </c>
      <c r="J325" s="5">
        <v>0</v>
      </c>
      <c r="K325" s="6">
        <v>502.686351</v>
      </c>
      <c r="L325" s="6">
        <v>503.9094142</v>
      </c>
      <c r="M325" s="6">
        <v>507.15957568</v>
      </c>
      <c r="N325" s="6">
        <v>60453.633537</v>
      </c>
      <c r="O325" s="6">
        <v>60455.1589308</v>
      </c>
      <c r="P325" s="6">
        <v>60458.4746018</v>
      </c>
      <c r="Q325" s="6">
        <v>50</v>
      </c>
      <c r="R325" s="6">
        <v>51</v>
      </c>
      <c r="S325" s="6">
        <v>51</v>
      </c>
      <c r="T325" s="6">
        <v>502.8626382198697</v>
      </c>
      <c r="U325" s="6">
        <v>60453.877946580855</v>
      </c>
      <c r="V325" s="6">
        <v>60472.89629910761</v>
      </c>
      <c r="W325" s="4">
        <v>0</v>
      </c>
      <c r="X325" s="4">
        <v>0</v>
      </c>
      <c r="Y325" s="4">
        <v>0</v>
      </c>
      <c r="Z325" s="4" t="s">
        <v>793</v>
      </c>
      <c r="AA325" s="4" t="s">
        <v>794</v>
      </c>
    </row>
    <row r="326" ht="30" customHeight="1" spans="1:27" x14ac:dyDescent="0.25">
      <c r="A326" s="4" t="s">
        <v>146</v>
      </c>
      <c r="B326" s="4" t="s">
        <v>101</v>
      </c>
      <c r="C326" s="4">
        <v>5000</v>
      </c>
      <c r="D326" s="4" t="s">
        <v>79</v>
      </c>
      <c r="E326" s="4">
        <v>4</v>
      </c>
      <c r="F326" s="4">
        <v>313</v>
      </c>
      <c r="G326" s="4">
        <v>3494</v>
      </c>
      <c r="H326" s="4">
        <v>1723</v>
      </c>
      <c r="I326" s="4">
        <v>3181</v>
      </c>
      <c r="J326" s="5">
        <v>0</v>
      </c>
      <c r="K326" s="6">
        <v>502.663354</v>
      </c>
      <c r="L326" s="6">
        <v>503.9134725</v>
      </c>
      <c r="M326" s="6">
        <v>506.92503831</v>
      </c>
      <c r="N326" s="6">
        <v>60453.6668645</v>
      </c>
      <c r="O326" s="6">
        <v>60455.154597</v>
      </c>
      <c r="P326" s="6">
        <v>60458.49371918</v>
      </c>
      <c r="Q326" s="6">
        <v>50</v>
      </c>
      <c r="R326" s="6">
        <v>51</v>
      </c>
      <c r="S326" s="6">
        <v>51</v>
      </c>
      <c r="T326" s="6">
        <v>502.9579637947911</v>
      </c>
      <c r="U326" s="6">
        <v>60454.03300248938</v>
      </c>
      <c r="V326" s="6">
        <v>60473.27460752615</v>
      </c>
      <c r="W326" s="4">
        <v>0</v>
      </c>
      <c r="X326" s="4">
        <v>0</v>
      </c>
      <c r="Y326" s="4">
        <v>0</v>
      </c>
      <c r="Z326" s="4" t="s">
        <v>795</v>
      </c>
      <c r="AA326" s="4" t="s">
        <v>796</v>
      </c>
    </row>
    <row r="327" ht="30" customHeight="1" spans="1:27" x14ac:dyDescent="0.25">
      <c r="A327" s="4" t="s">
        <v>146</v>
      </c>
      <c r="B327" s="4" t="s">
        <v>101</v>
      </c>
      <c r="C327" s="4">
        <v>5000</v>
      </c>
      <c r="D327" s="4" t="s">
        <v>79</v>
      </c>
      <c r="E327" s="4">
        <v>5</v>
      </c>
      <c r="F327" s="4">
        <v>313</v>
      </c>
      <c r="G327" s="4">
        <v>3493</v>
      </c>
      <c r="H327" s="4">
        <v>1831</v>
      </c>
      <c r="I327" s="4">
        <v>3180</v>
      </c>
      <c r="J327" s="5">
        <v>0</v>
      </c>
      <c r="K327" s="6">
        <v>502.65917</v>
      </c>
      <c r="L327" s="6">
        <v>503.8636452</v>
      </c>
      <c r="M327" s="6">
        <v>507.6632926</v>
      </c>
      <c r="N327" s="6">
        <v>60453.574284</v>
      </c>
      <c r="O327" s="6">
        <v>60455.0698138</v>
      </c>
      <c r="P327" s="6">
        <v>60458.11521476</v>
      </c>
      <c r="Q327" s="6">
        <v>50</v>
      </c>
      <c r="R327" s="6">
        <v>51</v>
      </c>
      <c r="S327" s="6">
        <v>51</v>
      </c>
      <c r="T327" s="6">
        <v>502.9489179473238</v>
      </c>
      <c r="U327" s="6">
        <v>60453.94955725077</v>
      </c>
      <c r="V327" s="6">
        <v>60474.27464268356</v>
      </c>
      <c r="W327" s="4">
        <v>0</v>
      </c>
      <c r="X327" s="4">
        <v>0</v>
      </c>
      <c r="Y327" s="4">
        <v>0</v>
      </c>
      <c r="Z327" s="4" t="s">
        <v>797</v>
      </c>
      <c r="AA327" s="4" t="s">
        <v>798</v>
      </c>
    </row>
    <row r="328" ht="30" customHeight="1" spans="1:27" x14ac:dyDescent="0.25">
      <c r="A328" s="4" t="s">
        <v>146</v>
      </c>
      <c r="B328" s="4" t="s">
        <v>101</v>
      </c>
      <c r="C328" s="4">
        <v>5000</v>
      </c>
      <c r="D328" s="4" t="s">
        <v>79</v>
      </c>
      <c r="E328" s="4">
        <v>6</v>
      </c>
      <c r="F328" s="4">
        <v>313</v>
      </c>
      <c r="G328" s="4">
        <v>3493</v>
      </c>
      <c r="H328" s="4">
        <v>1751</v>
      </c>
      <c r="I328" s="4">
        <v>3180</v>
      </c>
      <c r="J328" s="5">
        <v>0</v>
      </c>
      <c r="K328" s="6">
        <v>502.666876</v>
      </c>
      <c r="L328" s="6">
        <v>503.9295274</v>
      </c>
      <c r="M328" s="6">
        <v>506.86289684</v>
      </c>
      <c r="N328" s="6">
        <v>60453.621575</v>
      </c>
      <c r="O328" s="6">
        <v>60455.0158182</v>
      </c>
      <c r="P328" s="6">
        <v>60458.085460919996</v>
      </c>
      <c r="Q328" s="6">
        <v>50</v>
      </c>
      <c r="R328" s="6">
        <v>51</v>
      </c>
      <c r="S328" s="6">
        <v>51</v>
      </c>
      <c r="T328" s="6">
        <v>502.84581582421964</v>
      </c>
      <c r="U328" s="6">
        <v>60453.79613751652</v>
      </c>
      <c r="V328" s="6">
        <v>60473.35340980458</v>
      </c>
      <c r="W328" s="4">
        <v>0</v>
      </c>
      <c r="X328" s="4">
        <v>0</v>
      </c>
      <c r="Y328" s="4">
        <v>0</v>
      </c>
      <c r="Z328" s="4" t="s">
        <v>799</v>
      </c>
      <c r="AA328" s="4" t="s">
        <v>800</v>
      </c>
    </row>
    <row r="329" ht="30" customHeight="1" spans="1:27" x14ac:dyDescent="0.25">
      <c r="A329" s="4" t="s">
        <v>146</v>
      </c>
      <c r="B329" s="4" t="s">
        <v>101</v>
      </c>
      <c r="C329" s="4">
        <v>5000</v>
      </c>
      <c r="D329" s="4" t="s">
        <v>79</v>
      </c>
      <c r="E329" s="4">
        <v>7</v>
      </c>
      <c r="F329" s="4">
        <v>313</v>
      </c>
      <c r="G329" s="4">
        <v>3494</v>
      </c>
      <c r="H329" s="4">
        <v>1700</v>
      </c>
      <c r="I329" s="4">
        <v>3181</v>
      </c>
      <c r="J329" s="5">
        <v>0</v>
      </c>
      <c r="K329" s="6">
        <v>502.70467</v>
      </c>
      <c r="L329" s="6">
        <v>503.9711987</v>
      </c>
      <c r="M329" s="6">
        <v>506.72484153</v>
      </c>
      <c r="N329" s="6">
        <v>60453.623309</v>
      </c>
      <c r="O329" s="6">
        <v>60455.0477128</v>
      </c>
      <c r="P329" s="6">
        <v>60457.46012514</v>
      </c>
      <c r="Q329" s="6">
        <v>50</v>
      </c>
      <c r="R329" s="6">
        <v>51</v>
      </c>
      <c r="S329" s="6">
        <v>51</v>
      </c>
      <c r="T329" s="6">
        <v>502.842411766742</v>
      </c>
      <c r="U329" s="6">
        <v>60453.816720294366</v>
      </c>
      <c r="V329" s="6">
        <v>60472.676412363944</v>
      </c>
      <c r="W329" s="4">
        <v>0</v>
      </c>
      <c r="X329" s="4">
        <v>0</v>
      </c>
      <c r="Y329" s="4">
        <v>0</v>
      </c>
      <c r="Z329" s="4" t="s">
        <v>801</v>
      </c>
      <c r="AA329" s="4" t="s">
        <v>802</v>
      </c>
    </row>
    <row r="330" ht="30" customHeight="1" spans="1:27" x14ac:dyDescent="0.25">
      <c r="A330" s="4" t="s">
        <v>146</v>
      </c>
      <c r="B330" s="4" t="s">
        <v>101</v>
      </c>
      <c r="C330" s="4">
        <v>5000</v>
      </c>
      <c r="D330" s="4" t="s">
        <v>79</v>
      </c>
      <c r="E330" s="4">
        <v>8</v>
      </c>
      <c r="F330" s="4">
        <v>312</v>
      </c>
      <c r="G330" s="4">
        <v>3482</v>
      </c>
      <c r="H330" s="4">
        <v>1722</v>
      </c>
      <c r="I330" s="4">
        <v>3170</v>
      </c>
      <c r="J330" s="5">
        <v>0</v>
      </c>
      <c r="K330" s="6">
        <v>502.67417950000004</v>
      </c>
      <c r="L330" s="6">
        <v>503.9414641</v>
      </c>
      <c r="M330" s="6">
        <v>507.92856391</v>
      </c>
      <c r="N330" s="6">
        <v>60453.606596</v>
      </c>
      <c r="O330" s="6">
        <v>60454.9851701</v>
      </c>
      <c r="P330" s="6">
        <v>60457.86329722</v>
      </c>
      <c r="Q330" s="6">
        <v>50</v>
      </c>
      <c r="R330" s="6">
        <v>51</v>
      </c>
      <c r="S330" s="6">
        <v>51</v>
      </c>
      <c r="T330" s="6">
        <v>502.86949504709963</v>
      </c>
      <c r="U330" s="6">
        <v>60453.83944015065</v>
      </c>
      <c r="V330" s="6">
        <v>60473.043442802445</v>
      </c>
      <c r="W330" s="4">
        <v>0</v>
      </c>
      <c r="X330" s="4">
        <v>0</v>
      </c>
      <c r="Y330" s="4">
        <v>0</v>
      </c>
      <c r="Z330" s="4" t="s">
        <v>803</v>
      </c>
      <c r="AA330" s="4" t="s">
        <v>804</v>
      </c>
    </row>
    <row r="331" ht="30" customHeight="1" spans="1:27" x14ac:dyDescent="0.25">
      <c r="A331" s="4" t="s">
        <v>146</v>
      </c>
      <c r="B331" s="4" t="s">
        <v>101</v>
      </c>
      <c r="C331" s="4">
        <v>5000</v>
      </c>
      <c r="D331" s="4" t="s">
        <v>79</v>
      </c>
      <c r="E331" s="4">
        <v>9</v>
      </c>
      <c r="F331" s="4">
        <v>312</v>
      </c>
      <c r="G331" s="4">
        <v>3482</v>
      </c>
      <c r="H331" s="4">
        <v>1762</v>
      </c>
      <c r="I331" s="4">
        <v>3170</v>
      </c>
      <c r="J331" s="5">
        <v>0</v>
      </c>
      <c r="K331" s="6">
        <v>502.70525299999997</v>
      </c>
      <c r="L331" s="6">
        <v>503.9929696</v>
      </c>
      <c r="M331" s="6">
        <v>506.83240497</v>
      </c>
      <c r="N331" s="6">
        <v>60453.5849115</v>
      </c>
      <c r="O331" s="6">
        <v>60455.0391304</v>
      </c>
      <c r="P331" s="6">
        <v>60457.38510151</v>
      </c>
      <c r="Q331" s="6">
        <v>50</v>
      </c>
      <c r="R331" s="6">
        <v>51</v>
      </c>
      <c r="S331" s="6">
        <v>51</v>
      </c>
      <c r="T331" s="6">
        <v>502.87797304020665</v>
      </c>
      <c r="U331" s="6">
        <v>60453.791692116356</v>
      </c>
      <c r="V331" s="6">
        <v>60473.32026261814</v>
      </c>
      <c r="W331" s="4">
        <v>0</v>
      </c>
      <c r="X331" s="4">
        <v>0</v>
      </c>
      <c r="Y331" s="4">
        <v>0</v>
      </c>
      <c r="Z331" s="4" t="s">
        <v>805</v>
      </c>
      <c r="AA331" s="4" t="s">
        <v>806</v>
      </c>
    </row>
    <row r="332" ht="30" customHeight="1" spans="1:27" x14ac:dyDescent="0.25">
      <c r="A332" s="4" t="s">
        <v>146</v>
      </c>
      <c r="B332" s="4" t="s">
        <v>101</v>
      </c>
      <c r="C332" s="4">
        <v>5000</v>
      </c>
      <c r="D332" s="4" t="s">
        <v>79</v>
      </c>
      <c r="E332" s="4">
        <v>10</v>
      </c>
      <c r="F332" s="4">
        <v>312</v>
      </c>
      <c r="G332" s="4">
        <v>3482</v>
      </c>
      <c r="H332" s="4">
        <v>1708</v>
      </c>
      <c r="I332" s="4">
        <v>3170</v>
      </c>
      <c r="J332" s="5">
        <v>0</v>
      </c>
      <c r="K332" s="6">
        <v>502.69390599999997</v>
      </c>
      <c r="L332" s="6">
        <v>503.9432908</v>
      </c>
      <c r="M332" s="6">
        <v>507.24457884000003</v>
      </c>
      <c r="N332" s="6">
        <v>60453.597898</v>
      </c>
      <c r="O332" s="6">
        <v>60454.9892056</v>
      </c>
      <c r="P332" s="6">
        <v>60457.219838259996</v>
      </c>
      <c r="Q332" s="6">
        <v>50</v>
      </c>
      <c r="R332" s="6">
        <v>51</v>
      </c>
      <c r="S332" s="6">
        <v>51</v>
      </c>
      <c r="T332" s="6">
        <v>502.84891764934014</v>
      </c>
      <c r="U332" s="6">
        <v>60453.78408927867</v>
      </c>
      <c r="V332" s="6">
        <v>60472.78434057008</v>
      </c>
      <c r="W332" s="4">
        <v>0</v>
      </c>
      <c r="X332" s="4">
        <v>0</v>
      </c>
      <c r="Y332" s="4">
        <v>0</v>
      </c>
      <c r="Z332" s="4" t="s">
        <v>807</v>
      </c>
      <c r="AA332" s="4" t="s">
        <v>808</v>
      </c>
    </row>
    <row r="333" ht="30" customHeight="1" spans="1:27" x14ac:dyDescent="0.25">
      <c r="A333" s="4" t="s">
        <v>146</v>
      </c>
      <c r="B333" s="4" t="s">
        <v>101</v>
      </c>
      <c r="C333" s="4">
        <v>5000</v>
      </c>
      <c r="D333" s="4" t="s">
        <v>79</v>
      </c>
      <c r="E333" s="4">
        <v>11</v>
      </c>
      <c r="F333" s="4">
        <v>312</v>
      </c>
      <c r="G333" s="4">
        <v>3483</v>
      </c>
      <c r="H333" s="4">
        <v>1745</v>
      </c>
      <c r="I333" s="4">
        <v>3171</v>
      </c>
      <c r="J333" s="5">
        <v>0</v>
      </c>
      <c r="K333" s="6">
        <v>502.664399</v>
      </c>
      <c r="L333" s="6">
        <v>503.91016840000003</v>
      </c>
      <c r="M333" s="6">
        <v>507.17688398</v>
      </c>
      <c r="N333" s="6">
        <v>60453.638957</v>
      </c>
      <c r="O333" s="6">
        <v>60455.1165784</v>
      </c>
      <c r="P333" s="6">
        <v>60458.7384653</v>
      </c>
      <c r="Q333" s="6">
        <v>50</v>
      </c>
      <c r="R333" s="6">
        <v>51</v>
      </c>
      <c r="S333" s="6">
        <v>51</v>
      </c>
      <c r="T333" s="6">
        <v>502.8363231079521</v>
      </c>
      <c r="U333" s="6">
        <v>60453.87523399805</v>
      </c>
      <c r="V333" s="6">
        <v>60473.3796503902</v>
      </c>
      <c r="W333" s="4">
        <v>0</v>
      </c>
      <c r="X333" s="4">
        <v>0</v>
      </c>
      <c r="Y333" s="4">
        <v>0</v>
      </c>
      <c r="Z333" s="4" t="s">
        <v>809</v>
      </c>
      <c r="AA333" s="4" t="s">
        <v>810</v>
      </c>
    </row>
    <row r="334" ht="30" customHeight="1" spans="1:27" x14ac:dyDescent="0.25">
      <c r="A334" s="4" t="s">
        <v>146</v>
      </c>
      <c r="B334" s="4" t="s">
        <v>101</v>
      </c>
      <c r="C334" s="4">
        <v>5000</v>
      </c>
      <c r="D334" s="4" t="s">
        <v>79</v>
      </c>
      <c r="E334" s="4">
        <v>12</v>
      </c>
      <c r="F334" s="4">
        <v>312</v>
      </c>
      <c r="G334" s="4">
        <v>3482</v>
      </c>
      <c r="H334" s="4">
        <v>1741</v>
      </c>
      <c r="I334" s="4">
        <v>3170</v>
      </c>
      <c r="J334" s="5">
        <v>0</v>
      </c>
      <c r="K334" s="6">
        <v>502.7070545</v>
      </c>
      <c r="L334" s="6">
        <v>503.9336882</v>
      </c>
      <c r="M334" s="6">
        <v>507.71081316</v>
      </c>
      <c r="N334" s="6">
        <v>60453.6398565</v>
      </c>
      <c r="O334" s="6">
        <v>60455.1272183</v>
      </c>
      <c r="P334" s="6">
        <v>60457.770883360005</v>
      </c>
      <c r="Q334" s="6">
        <v>50</v>
      </c>
      <c r="R334" s="6">
        <v>51</v>
      </c>
      <c r="S334" s="6">
        <v>51</v>
      </c>
      <c r="T334" s="6">
        <v>502.87354136530735</v>
      </c>
      <c r="U334" s="6">
        <v>60453.86131472683</v>
      </c>
      <c r="V334" s="6">
        <v>60473.240867797474</v>
      </c>
      <c r="W334" s="4">
        <v>0</v>
      </c>
      <c r="X334" s="4">
        <v>0</v>
      </c>
      <c r="Y334" s="4">
        <v>0</v>
      </c>
      <c r="Z334" s="4" t="s">
        <v>811</v>
      </c>
      <c r="AA334" s="4" t="s">
        <v>812</v>
      </c>
    </row>
    <row r="335" ht="30" customHeight="1" spans="1:27" x14ac:dyDescent="0.25">
      <c r="A335" s="4" t="s">
        <v>146</v>
      </c>
      <c r="B335" s="4" t="s">
        <v>101</v>
      </c>
      <c r="C335" s="4">
        <v>5000</v>
      </c>
      <c r="D335" s="4" t="s">
        <v>79</v>
      </c>
      <c r="E335" s="4">
        <v>13</v>
      </c>
      <c r="F335" s="4">
        <v>312</v>
      </c>
      <c r="G335" s="4">
        <v>3482</v>
      </c>
      <c r="H335" s="4">
        <v>1771</v>
      </c>
      <c r="I335" s="4">
        <v>3170</v>
      </c>
      <c r="J335" s="5">
        <v>0</v>
      </c>
      <c r="K335" s="6">
        <v>502.6705535</v>
      </c>
      <c r="L335" s="6">
        <v>503.936106</v>
      </c>
      <c r="M335" s="6">
        <v>507.07181392999996</v>
      </c>
      <c r="N335" s="6">
        <v>60453.641033</v>
      </c>
      <c r="O335" s="6">
        <v>60455.1307084</v>
      </c>
      <c r="P335" s="6">
        <v>60458.33366882</v>
      </c>
      <c r="Q335" s="6">
        <v>50</v>
      </c>
      <c r="R335" s="6">
        <v>51</v>
      </c>
      <c r="S335" s="6">
        <v>51</v>
      </c>
      <c r="T335" s="6">
        <v>502.80483155399185</v>
      </c>
      <c r="U335" s="6">
        <v>60453.8463770051</v>
      </c>
      <c r="V335" s="6">
        <v>60473.675398948704</v>
      </c>
      <c r="W335" s="4">
        <v>0</v>
      </c>
      <c r="X335" s="4">
        <v>0</v>
      </c>
      <c r="Y335" s="4">
        <v>0</v>
      </c>
      <c r="Z335" s="4" t="s">
        <v>813</v>
      </c>
      <c r="AA335" s="4" t="s">
        <v>814</v>
      </c>
    </row>
    <row r="336" ht="30" customHeight="1" spans="1:27" x14ac:dyDescent="0.25">
      <c r="A336" s="4" t="s">
        <v>146</v>
      </c>
      <c r="B336" s="4" t="s">
        <v>101</v>
      </c>
      <c r="C336" s="4">
        <v>5000</v>
      </c>
      <c r="D336" s="4" t="s">
        <v>79</v>
      </c>
      <c r="E336" s="4">
        <v>14</v>
      </c>
      <c r="F336" s="4">
        <v>312</v>
      </c>
      <c r="G336" s="4">
        <v>3482</v>
      </c>
      <c r="H336" s="4">
        <v>1714</v>
      </c>
      <c r="I336" s="4">
        <v>3170</v>
      </c>
      <c r="J336" s="5">
        <v>0</v>
      </c>
      <c r="K336" s="6">
        <v>502.72824449999996</v>
      </c>
      <c r="L336" s="6">
        <v>503.942442</v>
      </c>
      <c r="M336" s="6">
        <v>508.47755436</v>
      </c>
      <c r="N336" s="6">
        <v>60453.6606555</v>
      </c>
      <c r="O336" s="6">
        <v>60455.1530906</v>
      </c>
      <c r="P336" s="6">
        <v>60457.65236362</v>
      </c>
      <c r="Q336" s="6">
        <v>50</v>
      </c>
      <c r="R336" s="6">
        <v>51</v>
      </c>
      <c r="S336" s="6">
        <v>51</v>
      </c>
      <c r="T336" s="6">
        <v>503.02561355456567</v>
      </c>
      <c r="U336" s="6">
        <v>60453.98537051206</v>
      </c>
      <c r="V336" s="6">
        <v>60473.04390455444</v>
      </c>
      <c r="W336" s="4">
        <v>0</v>
      </c>
      <c r="X336" s="4">
        <v>0</v>
      </c>
      <c r="Y336" s="4">
        <v>0</v>
      </c>
      <c r="Z336" s="4" t="s">
        <v>815</v>
      </c>
      <c r="AA336" s="4" t="s">
        <v>816</v>
      </c>
    </row>
    <row r="337" ht="30" customHeight="1" spans="1:27" x14ac:dyDescent="0.25">
      <c r="A337" s="4" t="s">
        <v>146</v>
      </c>
      <c r="B337" s="4" t="s">
        <v>101</v>
      </c>
      <c r="C337" s="4">
        <v>5000</v>
      </c>
      <c r="D337" s="4" t="s">
        <v>79</v>
      </c>
      <c r="E337" s="4">
        <v>15</v>
      </c>
      <c r="F337" s="4">
        <v>312</v>
      </c>
      <c r="G337" s="4">
        <v>3483</v>
      </c>
      <c r="H337" s="4">
        <v>1745</v>
      </c>
      <c r="I337" s="4">
        <v>3171</v>
      </c>
      <c r="J337" s="5">
        <v>0</v>
      </c>
      <c r="K337" s="6">
        <v>502.680049</v>
      </c>
      <c r="L337" s="6">
        <v>503.9759812</v>
      </c>
      <c r="M337" s="6">
        <v>507.4205732</v>
      </c>
      <c r="N337" s="6">
        <v>60453.613596</v>
      </c>
      <c r="O337" s="6">
        <v>60455.055161000004</v>
      </c>
      <c r="P337" s="6">
        <v>60457.39930664</v>
      </c>
      <c r="Q337" s="6">
        <v>50</v>
      </c>
      <c r="R337" s="6">
        <v>51</v>
      </c>
      <c r="S337" s="6">
        <v>51</v>
      </c>
      <c r="T337" s="6">
        <v>502.8591052586857</v>
      </c>
      <c r="U337" s="6">
        <v>60453.81726163943</v>
      </c>
      <c r="V337" s="6">
        <v>60473.241261228024</v>
      </c>
      <c r="W337" s="4">
        <v>0</v>
      </c>
      <c r="X337" s="4">
        <v>0</v>
      </c>
      <c r="Y337" s="4">
        <v>0</v>
      </c>
      <c r="Z337" s="4" t="s">
        <v>817</v>
      </c>
      <c r="AA337" s="4" t="s">
        <v>818</v>
      </c>
    </row>
    <row r="338" ht="30" customHeight="1" spans="1:27" x14ac:dyDescent="0.25">
      <c r="A338" s="4" t="s">
        <v>146</v>
      </c>
      <c r="B338" s="4" t="s">
        <v>101</v>
      </c>
      <c r="C338" s="4">
        <v>10000</v>
      </c>
      <c r="D338" s="4" t="s">
        <v>79</v>
      </c>
      <c r="E338" s="4">
        <v>0</v>
      </c>
      <c r="F338" s="4">
        <v>625</v>
      </c>
      <c r="G338" s="4">
        <v>6975</v>
      </c>
      <c r="H338" s="4">
        <v>3580</v>
      </c>
      <c r="I338" s="4">
        <v>6351</v>
      </c>
      <c r="J338" s="5">
        <v>0</v>
      </c>
      <c r="K338" s="6">
        <v>502.521576</v>
      </c>
      <c r="L338" s="6">
        <v>503.7582318</v>
      </c>
      <c r="M338" s="6">
        <v>509.07565274</v>
      </c>
      <c r="N338" s="6">
        <v>60453.690014</v>
      </c>
      <c r="O338" s="6">
        <v>60455.1400168</v>
      </c>
      <c r="P338" s="6">
        <v>60458.3566327</v>
      </c>
      <c r="Q338" s="6">
        <v>50</v>
      </c>
      <c r="R338" s="6">
        <v>51</v>
      </c>
      <c r="S338" s="6">
        <v>51</v>
      </c>
      <c r="T338" s="6">
        <v>502.94645539111093</v>
      </c>
      <c r="U338" s="6">
        <v>60454.12589146789</v>
      </c>
      <c r="V338" s="6">
        <v>60474.86783226665</v>
      </c>
      <c r="W338" s="4">
        <v>0</v>
      </c>
      <c r="X338" s="4">
        <v>0</v>
      </c>
      <c r="Y338" s="4">
        <v>0</v>
      </c>
      <c r="Z338" s="4" t="s">
        <v>819</v>
      </c>
      <c r="AA338" s="4" t="s">
        <v>820</v>
      </c>
    </row>
    <row r="339" ht="30" customHeight="1" spans="1:27" x14ac:dyDescent="0.25">
      <c r="A339" s="4" t="s">
        <v>146</v>
      </c>
      <c r="B339" s="4" t="s">
        <v>101</v>
      </c>
      <c r="C339" s="4">
        <v>10000</v>
      </c>
      <c r="D339" s="4" t="s">
        <v>79</v>
      </c>
      <c r="E339" s="4">
        <v>1</v>
      </c>
      <c r="F339" s="4">
        <v>625</v>
      </c>
      <c r="G339" s="4">
        <v>6975</v>
      </c>
      <c r="H339" s="4">
        <v>3476</v>
      </c>
      <c r="I339" s="4">
        <v>6351</v>
      </c>
      <c r="J339" s="5">
        <v>0</v>
      </c>
      <c r="K339" s="6">
        <v>502.486011</v>
      </c>
      <c r="L339" s="6">
        <v>503.717778</v>
      </c>
      <c r="M339" s="6">
        <v>508.42532244</v>
      </c>
      <c r="N339" s="6">
        <v>60453.644784</v>
      </c>
      <c r="O339" s="6">
        <v>60455.1616888</v>
      </c>
      <c r="P339" s="6">
        <v>60458.560035860006</v>
      </c>
      <c r="Q339" s="6">
        <v>50</v>
      </c>
      <c r="R339" s="6">
        <v>51</v>
      </c>
      <c r="S339" s="6">
        <v>51</v>
      </c>
      <c r="T339" s="6">
        <v>502.9058619757684</v>
      </c>
      <c r="U339" s="6">
        <v>60454.09498441972</v>
      </c>
      <c r="V339" s="6">
        <v>60474.29916325872</v>
      </c>
      <c r="W339" s="4">
        <v>0</v>
      </c>
      <c r="X339" s="4">
        <v>0</v>
      </c>
      <c r="Y339" s="4">
        <v>0</v>
      </c>
      <c r="Z339" s="4" t="s">
        <v>821</v>
      </c>
      <c r="AA339" s="4" t="s">
        <v>822</v>
      </c>
    </row>
    <row r="340" ht="30" customHeight="1" spans="1:27" x14ac:dyDescent="0.25">
      <c r="A340" s="4" t="s">
        <v>146</v>
      </c>
      <c r="B340" s="4" t="s">
        <v>101</v>
      </c>
      <c r="C340" s="4">
        <v>10000</v>
      </c>
      <c r="D340" s="4" t="s">
        <v>79</v>
      </c>
      <c r="E340" s="4">
        <v>2</v>
      </c>
      <c r="F340" s="4">
        <v>625</v>
      </c>
      <c r="G340" s="4">
        <v>6974</v>
      </c>
      <c r="H340" s="4">
        <v>3519</v>
      </c>
      <c r="I340" s="4">
        <v>6352</v>
      </c>
      <c r="J340" s="5">
        <v>0</v>
      </c>
      <c r="K340" s="6">
        <v>502.5069355</v>
      </c>
      <c r="L340" s="6">
        <v>503.7960569</v>
      </c>
      <c r="M340" s="6">
        <v>509.18006371</v>
      </c>
      <c r="N340" s="6">
        <v>60453.6605605</v>
      </c>
      <c r="O340" s="6">
        <v>60455.1395481</v>
      </c>
      <c r="P340" s="6">
        <v>60459.12607508</v>
      </c>
      <c r="Q340" s="6">
        <v>50</v>
      </c>
      <c r="R340" s="6">
        <v>51</v>
      </c>
      <c r="S340" s="6">
        <v>51</v>
      </c>
      <c r="T340" s="6">
        <v>503.11799351964197</v>
      </c>
      <c r="U340" s="6">
        <v>60454.277144017615</v>
      </c>
      <c r="V340" s="6">
        <v>60474.63191495563</v>
      </c>
      <c r="W340" s="4">
        <v>0</v>
      </c>
      <c r="X340" s="4">
        <v>0</v>
      </c>
      <c r="Y340" s="4">
        <v>0</v>
      </c>
      <c r="Z340" s="4" t="s">
        <v>823</v>
      </c>
      <c r="AA340" s="4" t="s">
        <v>824</v>
      </c>
    </row>
    <row r="341" ht="30" customHeight="1" spans="1:27" x14ac:dyDescent="0.25">
      <c r="A341" s="4" t="s">
        <v>146</v>
      </c>
      <c r="B341" s="4" t="s">
        <v>101</v>
      </c>
      <c r="C341" s="4">
        <v>10000</v>
      </c>
      <c r="D341" s="4" t="s">
        <v>79</v>
      </c>
      <c r="E341" s="4">
        <v>3</v>
      </c>
      <c r="F341" s="4">
        <v>625</v>
      </c>
      <c r="G341" s="4">
        <v>6976</v>
      </c>
      <c r="H341" s="4">
        <v>3543</v>
      </c>
      <c r="I341" s="4">
        <v>6350</v>
      </c>
      <c r="J341" s="5">
        <v>0</v>
      </c>
      <c r="K341" s="6">
        <v>502.5022985</v>
      </c>
      <c r="L341" s="6">
        <v>503.7458405</v>
      </c>
      <c r="M341" s="6">
        <v>508.08710825</v>
      </c>
      <c r="N341" s="6">
        <v>60453.631043500005</v>
      </c>
      <c r="O341" s="6">
        <v>60455.0968475</v>
      </c>
      <c r="P341" s="6">
        <v>60459.316678250005</v>
      </c>
      <c r="Q341" s="6">
        <v>50</v>
      </c>
      <c r="R341" s="6">
        <v>51</v>
      </c>
      <c r="S341" s="6">
        <v>51</v>
      </c>
      <c r="T341" s="6">
        <v>502.8925906363243</v>
      </c>
      <c r="U341" s="6">
        <v>60454.07615563612</v>
      </c>
      <c r="V341" s="6">
        <v>60474.56508906789</v>
      </c>
      <c r="W341" s="4">
        <v>0</v>
      </c>
      <c r="X341" s="4">
        <v>0</v>
      </c>
      <c r="Y341" s="4">
        <v>0</v>
      </c>
      <c r="Z341" s="4" t="s">
        <v>825</v>
      </c>
      <c r="AA341" s="4" t="s">
        <v>826</v>
      </c>
    </row>
    <row r="342" ht="30" customHeight="1" spans="1:27" x14ac:dyDescent="0.25">
      <c r="A342" s="4" t="s">
        <v>146</v>
      </c>
      <c r="B342" s="4" t="s">
        <v>101</v>
      </c>
      <c r="C342" s="4">
        <v>10000</v>
      </c>
      <c r="D342" s="4" t="s">
        <v>79</v>
      </c>
      <c r="E342" s="4">
        <v>4</v>
      </c>
      <c r="F342" s="4">
        <v>625</v>
      </c>
      <c r="G342" s="4">
        <v>6974</v>
      </c>
      <c r="H342" s="4">
        <v>3432</v>
      </c>
      <c r="I342" s="4">
        <v>6350</v>
      </c>
      <c r="J342" s="5">
        <v>0</v>
      </c>
      <c r="K342" s="6">
        <v>502.480598</v>
      </c>
      <c r="L342" s="6">
        <v>503.7531549</v>
      </c>
      <c r="M342" s="6">
        <v>508.43319349999996</v>
      </c>
      <c r="N342" s="6">
        <v>60453.701727499996</v>
      </c>
      <c r="O342" s="6">
        <v>60455.1875316</v>
      </c>
      <c r="P342" s="6">
        <v>60458.46789469</v>
      </c>
      <c r="Q342" s="6">
        <v>50</v>
      </c>
      <c r="R342" s="6">
        <v>51</v>
      </c>
      <c r="S342" s="6">
        <v>51</v>
      </c>
      <c r="T342" s="6">
        <v>502.9248301171482</v>
      </c>
      <c r="U342" s="6">
        <v>60454.16361491129</v>
      </c>
      <c r="V342" s="6">
        <v>60474.37884391987</v>
      </c>
      <c r="W342" s="4">
        <v>0</v>
      </c>
      <c r="X342" s="4">
        <v>0</v>
      </c>
      <c r="Y342" s="4">
        <v>0</v>
      </c>
      <c r="Z342" s="4" t="s">
        <v>827</v>
      </c>
      <c r="AA342" s="4" t="s">
        <v>828</v>
      </c>
    </row>
    <row r="343" ht="30" customHeight="1" spans="1:27" x14ac:dyDescent="0.25">
      <c r="A343" s="4" t="s">
        <v>146</v>
      </c>
      <c r="B343" s="4" t="s">
        <v>101</v>
      </c>
      <c r="C343" s="4">
        <v>10000</v>
      </c>
      <c r="D343" s="4" t="s">
        <v>79</v>
      </c>
      <c r="E343" s="4">
        <v>5</v>
      </c>
      <c r="F343" s="4">
        <v>625</v>
      </c>
      <c r="G343" s="4">
        <v>6975</v>
      </c>
      <c r="H343" s="4">
        <v>3500</v>
      </c>
      <c r="I343" s="4">
        <v>6351</v>
      </c>
      <c r="J343" s="5">
        <v>0</v>
      </c>
      <c r="K343" s="6">
        <v>502.52003</v>
      </c>
      <c r="L343" s="6">
        <v>503.72720000000004</v>
      </c>
      <c r="M343" s="6">
        <v>507.67712892000003</v>
      </c>
      <c r="N343" s="6">
        <v>60453.65346</v>
      </c>
      <c r="O343" s="6">
        <v>60455.0756938</v>
      </c>
      <c r="P343" s="6">
        <v>60458.0171619</v>
      </c>
      <c r="Q343" s="6">
        <v>50</v>
      </c>
      <c r="R343" s="6">
        <v>51</v>
      </c>
      <c r="S343" s="6">
        <v>51</v>
      </c>
      <c r="T343" s="6">
        <v>502.79032256401166</v>
      </c>
      <c r="U343" s="6">
        <v>60453.98536907485</v>
      </c>
      <c r="V343" s="6">
        <v>60474.21607591819</v>
      </c>
      <c r="W343" s="4">
        <v>0</v>
      </c>
      <c r="X343" s="4">
        <v>0</v>
      </c>
      <c r="Y343" s="4">
        <v>0</v>
      </c>
      <c r="Z343" s="4" t="s">
        <v>829</v>
      </c>
      <c r="AA343" s="4" t="s">
        <v>830</v>
      </c>
    </row>
    <row r="344" ht="30" customHeight="1" spans="1:27" x14ac:dyDescent="0.25">
      <c r="A344" s="4" t="s">
        <v>146</v>
      </c>
      <c r="B344" s="4" t="s">
        <v>101</v>
      </c>
      <c r="C344" s="4">
        <v>10000</v>
      </c>
      <c r="D344" s="4" t="s">
        <v>79</v>
      </c>
      <c r="E344" s="4">
        <v>6</v>
      </c>
      <c r="F344" s="4">
        <v>625</v>
      </c>
      <c r="G344" s="4">
        <v>6976</v>
      </c>
      <c r="H344" s="4">
        <v>3502</v>
      </c>
      <c r="I344" s="4">
        <v>6351</v>
      </c>
      <c r="J344" s="5">
        <v>0</v>
      </c>
      <c r="K344" s="6">
        <v>502.4789515</v>
      </c>
      <c r="L344" s="6">
        <v>503.667902</v>
      </c>
      <c r="M344" s="6">
        <v>507.2033895</v>
      </c>
      <c r="N344" s="6">
        <v>60453.6388955</v>
      </c>
      <c r="O344" s="6">
        <v>60455.150985</v>
      </c>
      <c r="P344" s="6">
        <v>60458.054924</v>
      </c>
      <c r="Q344" s="6">
        <v>50</v>
      </c>
      <c r="R344" s="6">
        <v>51</v>
      </c>
      <c r="S344" s="6">
        <v>51</v>
      </c>
      <c r="T344" s="6">
        <v>502.69932966169813</v>
      </c>
      <c r="U344" s="6">
        <v>60453.93621825539</v>
      </c>
      <c r="V344" s="6">
        <v>60474.23481600017</v>
      </c>
      <c r="W344" s="4">
        <v>0</v>
      </c>
      <c r="X344" s="4">
        <v>0</v>
      </c>
      <c r="Y344" s="4">
        <v>0</v>
      </c>
      <c r="Z344" s="4" t="s">
        <v>831</v>
      </c>
      <c r="AA344" s="4" t="s">
        <v>832</v>
      </c>
    </row>
    <row r="345" ht="30" customHeight="1" spans="1:27" x14ac:dyDescent="0.25">
      <c r="A345" s="4" t="s">
        <v>146</v>
      </c>
      <c r="B345" s="4" t="s">
        <v>101</v>
      </c>
      <c r="C345" s="4">
        <v>10000</v>
      </c>
      <c r="D345" s="4" t="s">
        <v>79</v>
      </c>
      <c r="E345" s="4">
        <v>7</v>
      </c>
      <c r="F345" s="4">
        <v>625</v>
      </c>
      <c r="G345" s="4">
        <v>6975</v>
      </c>
      <c r="H345" s="4">
        <v>3511</v>
      </c>
      <c r="I345" s="4">
        <v>6350</v>
      </c>
      <c r="J345" s="5">
        <v>0</v>
      </c>
      <c r="K345" s="6">
        <v>502.49683</v>
      </c>
      <c r="L345" s="6">
        <v>503.69247740000003</v>
      </c>
      <c r="M345" s="6">
        <v>507.73033938000003</v>
      </c>
      <c r="N345" s="6">
        <v>60453.67929</v>
      </c>
      <c r="O345" s="6">
        <v>60455.194291399996</v>
      </c>
      <c r="P345" s="6">
        <v>60458.34982166</v>
      </c>
      <c r="Q345" s="6">
        <v>50</v>
      </c>
      <c r="R345" s="6">
        <v>51</v>
      </c>
      <c r="S345" s="6">
        <v>51</v>
      </c>
      <c r="T345" s="6">
        <v>502.9089573912521</v>
      </c>
      <c r="U345" s="6">
        <v>60454.15440442478</v>
      </c>
      <c r="V345" s="6">
        <v>60474.36855053286</v>
      </c>
      <c r="W345" s="4">
        <v>0</v>
      </c>
      <c r="X345" s="4">
        <v>0</v>
      </c>
      <c r="Y345" s="4">
        <v>0</v>
      </c>
      <c r="Z345" s="4" t="s">
        <v>833</v>
      </c>
      <c r="AA345" s="4" t="s">
        <v>834</v>
      </c>
    </row>
    <row r="346" ht="30" customHeight="1" spans="1:27" x14ac:dyDescent="0.25">
      <c r="A346" s="4" t="s">
        <v>146</v>
      </c>
      <c r="B346" s="4" t="s">
        <v>101</v>
      </c>
      <c r="C346" s="4">
        <v>10000</v>
      </c>
      <c r="D346" s="4" t="s">
        <v>79</v>
      </c>
      <c r="E346" s="4">
        <v>8</v>
      </c>
      <c r="F346" s="4">
        <v>625</v>
      </c>
      <c r="G346" s="4">
        <v>6975</v>
      </c>
      <c r="H346" s="4">
        <v>3441</v>
      </c>
      <c r="I346" s="4">
        <v>6351</v>
      </c>
      <c r="J346" s="5">
        <v>0</v>
      </c>
      <c r="K346" s="6">
        <v>502.50072</v>
      </c>
      <c r="L346" s="6">
        <v>503.6992288</v>
      </c>
      <c r="M346" s="6">
        <v>509.42754654000004</v>
      </c>
      <c r="N346" s="6">
        <v>60453.629971</v>
      </c>
      <c r="O346" s="6">
        <v>60455.0805848</v>
      </c>
      <c r="P346" s="6">
        <v>60458.00361652</v>
      </c>
      <c r="Q346" s="6">
        <v>50</v>
      </c>
      <c r="R346" s="6">
        <v>51</v>
      </c>
      <c r="S346" s="6">
        <v>51</v>
      </c>
      <c r="T346" s="6">
        <v>502.8114186649475</v>
      </c>
      <c r="U346" s="6">
        <v>60453.95918652032</v>
      </c>
      <c r="V346" s="6">
        <v>60473.94151477782</v>
      </c>
      <c r="W346" s="4">
        <v>0</v>
      </c>
      <c r="X346" s="4">
        <v>0</v>
      </c>
      <c r="Y346" s="4">
        <v>0</v>
      </c>
      <c r="Z346" s="4" t="s">
        <v>835</v>
      </c>
      <c r="AA346" s="4" t="s">
        <v>836</v>
      </c>
    </row>
    <row r="347" ht="30" customHeight="1" spans="1:27" x14ac:dyDescent="0.25">
      <c r="A347" s="4" t="s">
        <v>146</v>
      </c>
      <c r="B347" s="4" t="s">
        <v>101</v>
      </c>
      <c r="C347" s="4">
        <v>10000</v>
      </c>
      <c r="D347" s="4" t="s">
        <v>79</v>
      </c>
      <c r="E347" s="4">
        <v>9</v>
      </c>
      <c r="F347" s="4">
        <v>625</v>
      </c>
      <c r="G347" s="4">
        <v>6976</v>
      </c>
      <c r="H347" s="4">
        <v>3539</v>
      </c>
      <c r="I347" s="4">
        <v>6352</v>
      </c>
      <c r="J347" s="5">
        <v>0</v>
      </c>
      <c r="K347" s="6">
        <v>502.522115</v>
      </c>
      <c r="L347" s="6">
        <v>503.72891549999997</v>
      </c>
      <c r="M347" s="6">
        <v>508.37701525</v>
      </c>
      <c r="N347" s="6">
        <v>60453.6695405</v>
      </c>
      <c r="O347" s="6">
        <v>60455.115332</v>
      </c>
      <c r="P347" s="6">
        <v>60458.19223675</v>
      </c>
      <c r="Q347" s="6">
        <v>50</v>
      </c>
      <c r="R347" s="6">
        <v>51</v>
      </c>
      <c r="S347" s="6">
        <v>51</v>
      </c>
      <c r="T347" s="6">
        <v>502.87967452594455</v>
      </c>
      <c r="U347" s="6">
        <v>60454.042745150415</v>
      </c>
      <c r="V347" s="6">
        <v>60474.56614190622</v>
      </c>
      <c r="W347" s="4">
        <v>0</v>
      </c>
      <c r="X347" s="4">
        <v>0</v>
      </c>
      <c r="Y347" s="4">
        <v>0</v>
      </c>
      <c r="Z347" s="4" t="s">
        <v>837</v>
      </c>
      <c r="AA347" s="4" t="s">
        <v>838</v>
      </c>
    </row>
    <row r="348" ht="30" customHeight="1" spans="1:27" x14ac:dyDescent="0.25">
      <c r="A348" s="4" t="s">
        <v>146</v>
      </c>
      <c r="B348" s="4" t="s">
        <v>101</v>
      </c>
      <c r="C348" s="4">
        <v>10000</v>
      </c>
      <c r="D348" s="4" t="s">
        <v>79</v>
      </c>
      <c r="E348" s="4">
        <v>10</v>
      </c>
      <c r="F348" s="4">
        <v>625</v>
      </c>
      <c r="G348" s="4">
        <v>6976</v>
      </c>
      <c r="H348" s="4">
        <v>3526</v>
      </c>
      <c r="I348" s="4">
        <v>6351</v>
      </c>
      <c r="J348" s="5">
        <v>0</v>
      </c>
      <c r="K348" s="6">
        <v>502.489036</v>
      </c>
      <c r="L348" s="6">
        <v>503.740964</v>
      </c>
      <c r="M348" s="6">
        <v>507.2978635</v>
      </c>
      <c r="N348" s="6">
        <v>60453.680084499996</v>
      </c>
      <c r="O348" s="6">
        <v>60455.1128115</v>
      </c>
      <c r="P348" s="6">
        <v>60457.91604425</v>
      </c>
      <c r="Q348" s="6">
        <v>50</v>
      </c>
      <c r="R348" s="6">
        <v>51</v>
      </c>
      <c r="S348" s="6">
        <v>51</v>
      </c>
      <c r="T348" s="6">
        <v>502.8487047581705</v>
      </c>
      <c r="U348" s="6">
        <v>60454.07877824268</v>
      </c>
      <c r="V348" s="6">
        <v>60474.42202121653</v>
      </c>
      <c r="W348" s="4">
        <v>0</v>
      </c>
      <c r="X348" s="4">
        <v>0</v>
      </c>
      <c r="Y348" s="4">
        <v>0</v>
      </c>
      <c r="Z348" s="4" t="s">
        <v>839</v>
      </c>
      <c r="AA348" s="4" t="s">
        <v>840</v>
      </c>
    </row>
    <row r="349" ht="30" customHeight="1" spans="1:27" x14ac:dyDescent="0.25">
      <c r="A349" s="4" t="s">
        <v>146</v>
      </c>
      <c r="B349" s="4" t="s">
        <v>101</v>
      </c>
      <c r="C349" s="4">
        <v>10000</v>
      </c>
      <c r="D349" s="4" t="s">
        <v>79</v>
      </c>
      <c r="E349" s="4">
        <v>11</v>
      </c>
      <c r="F349" s="4">
        <v>625</v>
      </c>
      <c r="G349" s="4">
        <v>6974</v>
      </c>
      <c r="H349" s="4">
        <v>3500</v>
      </c>
      <c r="I349" s="4">
        <v>6349</v>
      </c>
      <c r="J349" s="5">
        <v>0</v>
      </c>
      <c r="K349" s="6">
        <v>502.4860855</v>
      </c>
      <c r="L349" s="6">
        <v>503.74317410000003</v>
      </c>
      <c r="M349" s="6">
        <v>506.35833780999997</v>
      </c>
      <c r="N349" s="6">
        <v>60453.651351</v>
      </c>
      <c r="O349" s="6">
        <v>60455.0675043</v>
      </c>
      <c r="P349" s="6">
        <v>60458.20972512</v>
      </c>
      <c r="Q349" s="6">
        <v>50</v>
      </c>
      <c r="R349" s="6">
        <v>51</v>
      </c>
      <c r="S349" s="6">
        <v>51</v>
      </c>
      <c r="T349" s="6">
        <v>502.64626632391696</v>
      </c>
      <c r="U349" s="6">
        <v>60453.87739983039</v>
      </c>
      <c r="V349" s="6">
        <v>60474.13847289132</v>
      </c>
      <c r="W349" s="4">
        <v>0</v>
      </c>
      <c r="X349" s="4">
        <v>0</v>
      </c>
      <c r="Y349" s="4">
        <v>0</v>
      </c>
      <c r="Z349" s="4" t="s">
        <v>841</v>
      </c>
      <c r="AA349" s="4" t="s">
        <v>842</v>
      </c>
    </row>
    <row r="350" ht="30" customHeight="1" spans="1:27" x14ac:dyDescent="0.25">
      <c r="A350" s="4" t="s">
        <v>146</v>
      </c>
      <c r="B350" s="4" t="s">
        <v>101</v>
      </c>
      <c r="C350" s="4">
        <v>10000</v>
      </c>
      <c r="D350" s="4" t="s">
        <v>79</v>
      </c>
      <c r="E350" s="4">
        <v>12</v>
      </c>
      <c r="F350" s="4">
        <v>625</v>
      </c>
      <c r="G350" s="4">
        <v>6975</v>
      </c>
      <c r="H350" s="4">
        <v>3481</v>
      </c>
      <c r="I350" s="4">
        <v>6350</v>
      </c>
      <c r="J350" s="5">
        <v>0</v>
      </c>
      <c r="K350" s="6">
        <v>502.49396</v>
      </c>
      <c r="L350" s="6">
        <v>503.7492208</v>
      </c>
      <c r="M350" s="6">
        <v>507.38377302000004</v>
      </c>
      <c r="N350" s="6">
        <v>60453.652104</v>
      </c>
      <c r="O350" s="6">
        <v>60455.0668676</v>
      </c>
      <c r="P350" s="6">
        <v>60458.61258626</v>
      </c>
      <c r="Q350" s="6">
        <v>50</v>
      </c>
      <c r="R350" s="6">
        <v>51</v>
      </c>
      <c r="S350" s="6">
        <v>51</v>
      </c>
      <c r="T350" s="6">
        <v>502.82288252344046</v>
      </c>
      <c r="U350" s="6">
        <v>60454.04365800109</v>
      </c>
      <c r="V350" s="6">
        <v>60474.25382148955</v>
      </c>
      <c r="W350" s="4">
        <v>0</v>
      </c>
      <c r="X350" s="4">
        <v>0</v>
      </c>
      <c r="Y350" s="4">
        <v>0</v>
      </c>
      <c r="Z350" s="4" t="s">
        <v>843</v>
      </c>
      <c r="AA350" s="4" t="s">
        <v>844</v>
      </c>
    </row>
    <row r="351" ht="30" customHeight="1" spans="1:27" x14ac:dyDescent="0.25">
      <c r="A351" s="4" t="s">
        <v>146</v>
      </c>
      <c r="B351" s="4" t="s">
        <v>101</v>
      </c>
      <c r="C351" s="4">
        <v>10000</v>
      </c>
      <c r="D351" s="4" t="s">
        <v>79</v>
      </c>
      <c r="E351" s="4">
        <v>13</v>
      </c>
      <c r="F351" s="4">
        <v>625</v>
      </c>
      <c r="G351" s="4">
        <v>6975</v>
      </c>
      <c r="H351" s="4">
        <v>3486</v>
      </c>
      <c r="I351" s="4">
        <v>6350</v>
      </c>
      <c r="J351" s="5">
        <v>0</v>
      </c>
      <c r="K351" s="6">
        <v>502.469776</v>
      </c>
      <c r="L351" s="6">
        <v>503.6939746</v>
      </c>
      <c r="M351" s="6">
        <v>507.95000818</v>
      </c>
      <c r="N351" s="6">
        <v>60453.627044</v>
      </c>
      <c r="O351" s="6">
        <v>60455.116284</v>
      </c>
      <c r="P351" s="6">
        <v>60458.298528</v>
      </c>
      <c r="Q351" s="6">
        <v>50</v>
      </c>
      <c r="R351" s="6">
        <v>51</v>
      </c>
      <c r="S351" s="6">
        <v>51</v>
      </c>
      <c r="T351" s="6">
        <v>503.00359434681064</v>
      </c>
      <c r="U351" s="6">
        <v>60454.20558585009</v>
      </c>
      <c r="V351" s="6">
        <v>60474.36721044999</v>
      </c>
      <c r="W351" s="4">
        <v>0</v>
      </c>
      <c r="X351" s="4">
        <v>0</v>
      </c>
      <c r="Y351" s="4">
        <v>0</v>
      </c>
      <c r="Z351" s="4" t="s">
        <v>845</v>
      </c>
      <c r="AA351" s="4" t="s">
        <v>846</v>
      </c>
    </row>
    <row r="352" ht="30" customHeight="1" spans="1:27" x14ac:dyDescent="0.25">
      <c r="A352" s="4" t="s">
        <v>146</v>
      </c>
      <c r="B352" s="4" t="s">
        <v>101</v>
      </c>
      <c r="C352" s="4">
        <v>10000</v>
      </c>
      <c r="D352" s="4" t="s">
        <v>79</v>
      </c>
      <c r="E352" s="4">
        <v>14</v>
      </c>
      <c r="F352" s="4">
        <v>625</v>
      </c>
      <c r="G352" s="4">
        <v>6974</v>
      </c>
      <c r="H352" s="4">
        <v>3478</v>
      </c>
      <c r="I352" s="4">
        <v>6349</v>
      </c>
      <c r="J352" s="5">
        <v>0</v>
      </c>
      <c r="K352" s="6">
        <v>502.501827</v>
      </c>
      <c r="L352" s="6">
        <v>503.7681273</v>
      </c>
      <c r="M352" s="6">
        <v>507.96221212999995</v>
      </c>
      <c r="N352" s="6">
        <v>60453.6494915</v>
      </c>
      <c r="O352" s="6">
        <v>60455.0944247</v>
      </c>
      <c r="P352" s="6">
        <v>60458.31409305</v>
      </c>
      <c r="Q352" s="6">
        <v>50</v>
      </c>
      <c r="R352" s="6">
        <v>51</v>
      </c>
      <c r="S352" s="6">
        <v>51</v>
      </c>
      <c r="T352" s="6">
        <v>502.7758144258674</v>
      </c>
      <c r="U352" s="6">
        <v>60453.98302393556</v>
      </c>
      <c r="V352" s="6">
        <v>60474.033094895494</v>
      </c>
      <c r="W352" s="4">
        <v>0</v>
      </c>
      <c r="X352" s="4">
        <v>0</v>
      </c>
      <c r="Y352" s="4">
        <v>0</v>
      </c>
      <c r="Z352" s="4" t="s">
        <v>847</v>
      </c>
      <c r="AA352" s="4" t="s">
        <v>848</v>
      </c>
    </row>
    <row r="353" ht="30" customHeight="1" spans="1:27" x14ac:dyDescent="0.25">
      <c r="A353" s="4" t="s">
        <v>146</v>
      </c>
      <c r="B353" s="4" t="s">
        <v>101</v>
      </c>
      <c r="C353" s="4">
        <v>10000</v>
      </c>
      <c r="D353" s="4" t="s">
        <v>79</v>
      </c>
      <c r="E353" s="4">
        <v>15</v>
      </c>
      <c r="F353" s="4">
        <v>625</v>
      </c>
      <c r="G353" s="4">
        <v>6975</v>
      </c>
      <c r="H353" s="4">
        <v>3463</v>
      </c>
      <c r="I353" s="4">
        <v>6350</v>
      </c>
      <c r="J353" s="5">
        <v>0</v>
      </c>
      <c r="K353" s="6">
        <v>502.494174</v>
      </c>
      <c r="L353" s="6">
        <v>503.7140376</v>
      </c>
      <c r="M353" s="6">
        <v>507.05399744</v>
      </c>
      <c r="N353" s="6">
        <v>60453.654841</v>
      </c>
      <c r="O353" s="6">
        <v>60455.073628599996</v>
      </c>
      <c r="P353" s="6">
        <v>60457.495534860005</v>
      </c>
      <c r="Q353" s="6">
        <v>50</v>
      </c>
      <c r="R353" s="6">
        <v>51</v>
      </c>
      <c r="S353" s="6">
        <v>51</v>
      </c>
      <c r="T353" s="6">
        <v>502.86690461992805</v>
      </c>
      <c r="U353" s="6">
        <v>60454.05675430977</v>
      </c>
      <c r="V353" s="6">
        <v>60474.13786761123</v>
      </c>
      <c r="W353" s="4">
        <v>0</v>
      </c>
      <c r="X353" s="4">
        <v>0</v>
      </c>
      <c r="Y353" s="4">
        <v>0</v>
      </c>
      <c r="Z353" s="4" t="s">
        <v>849</v>
      </c>
      <c r="AA353" s="4" t="s">
        <v>850</v>
      </c>
    </row>
    <row r="354" ht="30" customHeight="1" spans="1:27" x14ac:dyDescent="0.25">
      <c r="A354" s="4" t="s">
        <v>146</v>
      </c>
      <c r="B354" s="4" t="s">
        <v>101</v>
      </c>
      <c r="C354" s="4">
        <v>15000</v>
      </c>
      <c r="D354" s="4" t="s">
        <v>79</v>
      </c>
      <c r="E354" s="4">
        <v>0</v>
      </c>
      <c r="F354" s="4">
        <v>938</v>
      </c>
      <c r="G354" s="4">
        <v>10467</v>
      </c>
      <c r="H354" s="4">
        <v>5228</v>
      </c>
      <c r="I354" s="4">
        <v>9529</v>
      </c>
      <c r="J354" s="5">
        <v>0</v>
      </c>
      <c r="K354" s="6">
        <v>502.485511</v>
      </c>
      <c r="L354" s="6">
        <v>503.8305308</v>
      </c>
      <c r="M354" s="6">
        <v>511.68264108000005</v>
      </c>
      <c r="N354" s="6">
        <v>60453.731302</v>
      </c>
      <c r="O354" s="6">
        <v>60455.2611528</v>
      </c>
      <c r="P354" s="6">
        <v>60459.84641862</v>
      </c>
      <c r="Q354" s="6">
        <v>50</v>
      </c>
      <c r="R354" s="6">
        <v>51</v>
      </c>
      <c r="S354" s="6">
        <v>51</v>
      </c>
      <c r="T354" s="6">
        <v>503.4667714888679</v>
      </c>
      <c r="U354" s="6">
        <v>60454.66087422825</v>
      </c>
      <c r="V354" s="6">
        <v>60475.44564262387</v>
      </c>
      <c r="W354" s="4">
        <v>0</v>
      </c>
      <c r="X354" s="4">
        <v>0</v>
      </c>
      <c r="Y354" s="4">
        <v>0</v>
      </c>
      <c r="Z354" s="4" t="s">
        <v>851</v>
      </c>
      <c r="AA354" s="4" t="s">
        <v>852</v>
      </c>
    </row>
    <row r="355" ht="30" customHeight="1" spans="1:27" x14ac:dyDescent="0.25">
      <c r="A355" s="4" t="s">
        <v>146</v>
      </c>
      <c r="B355" s="4" t="s">
        <v>101</v>
      </c>
      <c r="C355" s="4">
        <v>15000</v>
      </c>
      <c r="D355" s="4" t="s">
        <v>79</v>
      </c>
      <c r="E355" s="4">
        <v>1</v>
      </c>
      <c r="F355" s="4">
        <v>938</v>
      </c>
      <c r="G355" s="4">
        <v>10468</v>
      </c>
      <c r="H355" s="4">
        <v>5209</v>
      </c>
      <c r="I355" s="4">
        <v>9531</v>
      </c>
      <c r="J355" s="5">
        <v>0</v>
      </c>
      <c r="K355" s="6">
        <v>502.492068</v>
      </c>
      <c r="L355" s="6">
        <v>503.80214570000004</v>
      </c>
      <c r="M355" s="6">
        <v>511.71120804</v>
      </c>
      <c r="N355" s="6">
        <v>60453.719354</v>
      </c>
      <c r="O355" s="6">
        <v>60455.1981806</v>
      </c>
      <c r="P355" s="6">
        <v>60459.339153580004</v>
      </c>
      <c r="Q355" s="6">
        <v>50</v>
      </c>
      <c r="R355" s="6">
        <v>51</v>
      </c>
      <c r="S355" s="6">
        <v>51</v>
      </c>
      <c r="T355" s="6">
        <v>503.37208026318456</v>
      </c>
      <c r="U355" s="6">
        <v>60454.54648886133</v>
      </c>
      <c r="V355" s="6">
        <v>60475.327285167274</v>
      </c>
      <c r="W355" s="4">
        <v>0</v>
      </c>
      <c r="X355" s="4">
        <v>0</v>
      </c>
      <c r="Y355" s="4">
        <v>0</v>
      </c>
      <c r="Z355" s="4" t="s">
        <v>853</v>
      </c>
      <c r="AA355" s="4" t="s">
        <v>854</v>
      </c>
    </row>
    <row r="356" ht="30" customHeight="1" spans="1:27" x14ac:dyDescent="0.25">
      <c r="A356" s="4" t="s">
        <v>146</v>
      </c>
      <c r="B356" s="4" t="s">
        <v>101</v>
      </c>
      <c r="C356" s="4">
        <v>15000</v>
      </c>
      <c r="D356" s="4" t="s">
        <v>79</v>
      </c>
      <c r="E356" s="4">
        <v>2</v>
      </c>
      <c r="F356" s="4">
        <v>938</v>
      </c>
      <c r="G356" s="4">
        <v>10467</v>
      </c>
      <c r="H356" s="4">
        <v>5264</v>
      </c>
      <c r="I356" s="4">
        <v>9530</v>
      </c>
      <c r="J356" s="5">
        <v>0</v>
      </c>
      <c r="K356" s="6">
        <v>502.470194</v>
      </c>
      <c r="L356" s="6">
        <v>503.7827522</v>
      </c>
      <c r="M356" s="6">
        <v>511.79113676000003</v>
      </c>
      <c r="N356" s="6">
        <v>60453.745353</v>
      </c>
      <c r="O356" s="6">
        <v>60455.2608156</v>
      </c>
      <c r="P356" s="6">
        <v>60459.76845218</v>
      </c>
      <c r="Q356" s="6">
        <v>50</v>
      </c>
      <c r="R356" s="6">
        <v>51</v>
      </c>
      <c r="S356" s="6">
        <v>51</v>
      </c>
      <c r="T356" s="6">
        <v>503.35598023521584</v>
      </c>
      <c r="U356" s="6">
        <v>60454.609874448135</v>
      </c>
      <c r="V356" s="6">
        <v>60475.61433797172</v>
      </c>
      <c r="W356" s="4">
        <v>0</v>
      </c>
      <c r="X356" s="4">
        <v>0</v>
      </c>
      <c r="Y356" s="4">
        <v>0</v>
      </c>
      <c r="Z356" s="4" t="s">
        <v>855</v>
      </c>
      <c r="AA356" s="4" t="s">
        <v>856</v>
      </c>
    </row>
    <row r="357" ht="30" customHeight="1" spans="1:27" x14ac:dyDescent="0.25">
      <c r="A357" s="4" t="s">
        <v>146</v>
      </c>
      <c r="B357" s="4" t="s">
        <v>101</v>
      </c>
      <c r="C357" s="4">
        <v>15000</v>
      </c>
      <c r="D357" s="4" t="s">
        <v>79</v>
      </c>
      <c r="E357" s="4">
        <v>3</v>
      </c>
      <c r="F357" s="4">
        <v>938</v>
      </c>
      <c r="G357" s="4">
        <v>10470</v>
      </c>
      <c r="H357" s="4">
        <v>5271</v>
      </c>
      <c r="I357" s="4">
        <v>9532</v>
      </c>
      <c r="J357" s="5">
        <v>0</v>
      </c>
      <c r="K357" s="6">
        <v>502.473982</v>
      </c>
      <c r="L357" s="6">
        <v>503.78875850000003</v>
      </c>
      <c r="M357" s="6">
        <v>510.20973592999997</v>
      </c>
      <c r="N357" s="6">
        <v>60453.7362515</v>
      </c>
      <c r="O357" s="6">
        <v>60455.2439966</v>
      </c>
      <c r="P357" s="6">
        <v>60459.355522620004</v>
      </c>
      <c r="Q357" s="6">
        <v>50</v>
      </c>
      <c r="R357" s="6">
        <v>51</v>
      </c>
      <c r="S357" s="6">
        <v>51</v>
      </c>
      <c r="T357" s="6">
        <v>503.23243284937786</v>
      </c>
      <c r="U357" s="6">
        <v>60454.48749410705</v>
      </c>
      <c r="V357" s="6">
        <v>60475.42279802161</v>
      </c>
      <c r="W357" s="4">
        <v>0</v>
      </c>
      <c r="X357" s="4">
        <v>0</v>
      </c>
      <c r="Y357" s="4">
        <v>0</v>
      </c>
      <c r="Z357" s="4" t="s">
        <v>857</v>
      </c>
      <c r="AA357" s="4" t="s">
        <v>858</v>
      </c>
    </row>
    <row r="358" ht="30" customHeight="1" spans="1:27" x14ac:dyDescent="0.25">
      <c r="A358" s="4" t="s">
        <v>146</v>
      </c>
      <c r="B358" s="4" t="s">
        <v>101</v>
      </c>
      <c r="C358" s="4">
        <v>15000</v>
      </c>
      <c r="D358" s="4" t="s">
        <v>79</v>
      </c>
      <c r="E358" s="4">
        <v>4</v>
      </c>
      <c r="F358" s="4">
        <v>938</v>
      </c>
      <c r="G358" s="4">
        <v>10469</v>
      </c>
      <c r="H358" s="4">
        <v>5217</v>
      </c>
      <c r="I358" s="4">
        <v>9531</v>
      </c>
      <c r="J358" s="5">
        <v>0</v>
      </c>
      <c r="K358" s="6">
        <v>502.480789</v>
      </c>
      <c r="L358" s="6">
        <v>503.78946179999997</v>
      </c>
      <c r="M358" s="6">
        <v>509.54351643999996</v>
      </c>
      <c r="N358" s="6">
        <v>60453.727569</v>
      </c>
      <c r="O358" s="6">
        <v>60455.2704246</v>
      </c>
      <c r="P358" s="6">
        <v>60460.07086328</v>
      </c>
      <c r="Q358" s="6">
        <v>50</v>
      </c>
      <c r="R358" s="6">
        <v>51</v>
      </c>
      <c r="S358" s="6">
        <v>51</v>
      </c>
      <c r="T358" s="6">
        <v>503.0593629932181</v>
      </c>
      <c r="U358" s="6">
        <v>60454.32375427583</v>
      </c>
      <c r="V358" s="6">
        <v>60475.10423098608</v>
      </c>
      <c r="W358" s="4">
        <v>0</v>
      </c>
      <c r="X358" s="4">
        <v>0</v>
      </c>
      <c r="Y358" s="4">
        <v>0</v>
      </c>
      <c r="Z358" s="4" t="s">
        <v>859</v>
      </c>
      <c r="AA358" s="4" t="s">
        <v>860</v>
      </c>
    </row>
    <row r="359" ht="30" customHeight="1" spans="1:27" x14ac:dyDescent="0.25">
      <c r="A359" s="4" t="s">
        <v>146</v>
      </c>
      <c r="B359" s="4" t="s">
        <v>101</v>
      </c>
      <c r="C359" s="4">
        <v>15000</v>
      </c>
      <c r="D359" s="4" t="s">
        <v>79</v>
      </c>
      <c r="E359" s="4">
        <v>5</v>
      </c>
      <c r="F359" s="4">
        <v>938</v>
      </c>
      <c r="G359" s="4">
        <v>10467</v>
      </c>
      <c r="H359" s="4">
        <v>5337</v>
      </c>
      <c r="I359" s="4">
        <v>9530</v>
      </c>
      <c r="J359" s="5">
        <v>0</v>
      </c>
      <c r="K359" s="6">
        <v>502.485373</v>
      </c>
      <c r="L359" s="6">
        <v>503.79014259999997</v>
      </c>
      <c r="M359" s="6">
        <v>509.798428</v>
      </c>
      <c r="N359" s="6">
        <v>60453.758676</v>
      </c>
      <c r="O359" s="6">
        <v>60455.2818208</v>
      </c>
      <c r="P359" s="6">
        <v>60459.77643228</v>
      </c>
      <c r="Q359" s="6">
        <v>50</v>
      </c>
      <c r="R359" s="6">
        <v>51</v>
      </c>
      <c r="S359" s="6">
        <v>51</v>
      </c>
      <c r="T359" s="6">
        <v>503.03326837718487</v>
      </c>
      <c r="U359" s="6">
        <v>60454.29347615429</v>
      </c>
      <c r="V359" s="6">
        <v>60475.46017830884</v>
      </c>
      <c r="W359" s="4">
        <v>0</v>
      </c>
      <c r="X359" s="4">
        <v>0</v>
      </c>
      <c r="Y359" s="4">
        <v>0</v>
      </c>
      <c r="Z359" s="4" t="s">
        <v>861</v>
      </c>
      <c r="AA359" s="4" t="s">
        <v>862</v>
      </c>
    </row>
    <row r="360" ht="30" customHeight="1" spans="1:27" x14ac:dyDescent="0.25">
      <c r="A360" s="4" t="s">
        <v>146</v>
      </c>
      <c r="B360" s="4" t="s">
        <v>101</v>
      </c>
      <c r="C360" s="4">
        <v>15000</v>
      </c>
      <c r="D360" s="4" t="s">
        <v>79</v>
      </c>
      <c r="E360" s="4">
        <v>6</v>
      </c>
      <c r="F360" s="4">
        <v>938</v>
      </c>
      <c r="G360" s="4">
        <v>10468</v>
      </c>
      <c r="H360" s="4">
        <v>5201</v>
      </c>
      <c r="I360" s="4">
        <v>9531</v>
      </c>
      <c r="J360" s="5">
        <v>0</v>
      </c>
      <c r="K360" s="6">
        <v>502.4939825</v>
      </c>
      <c r="L360" s="6">
        <v>503.7895448</v>
      </c>
      <c r="M360" s="6">
        <v>510.14139410999996</v>
      </c>
      <c r="N360" s="6">
        <v>60453.7470775</v>
      </c>
      <c r="O360" s="6">
        <v>60455.2564504</v>
      </c>
      <c r="P360" s="6">
        <v>60459.945697870004</v>
      </c>
      <c r="Q360" s="6">
        <v>50</v>
      </c>
      <c r="R360" s="6">
        <v>51</v>
      </c>
      <c r="S360" s="6">
        <v>51</v>
      </c>
      <c r="T360" s="6">
        <v>503.32301631725176</v>
      </c>
      <c r="U360" s="6">
        <v>60454.57843661847</v>
      </c>
      <c r="V360" s="6">
        <v>60475.196913104635</v>
      </c>
      <c r="W360" s="4">
        <v>0</v>
      </c>
      <c r="X360" s="4">
        <v>0</v>
      </c>
      <c r="Y360" s="4">
        <v>0</v>
      </c>
      <c r="Z360" s="4" t="s">
        <v>863</v>
      </c>
      <c r="AA360" s="4" t="s">
        <v>864</v>
      </c>
    </row>
    <row r="361" ht="30" customHeight="1" spans="1:27" x14ac:dyDescent="0.25">
      <c r="A361" s="4" t="s">
        <v>146</v>
      </c>
      <c r="B361" s="4" t="s">
        <v>101</v>
      </c>
      <c r="C361" s="4">
        <v>15000</v>
      </c>
      <c r="D361" s="4" t="s">
        <v>79</v>
      </c>
      <c r="E361" s="4">
        <v>7</v>
      </c>
      <c r="F361" s="4">
        <v>938</v>
      </c>
      <c r="G361" s="4">
        <v>10466</v>
      </c>
      <c r="H361" s="4">
        <v>5265</v>
      </c>
      <c r="I361" s="4">
        <v>9530</v>
      </c>
      <c r="J361" s="5">
        <v>0</v>
      </c>
      <c r="K361" s="6">
        <v>502.471541</v>
      </c>
      <c r="L361" s="6">
        <v>503.813138</v>
      </c>
      <c r="M361" s="6">
        <v>510.10436300000003</v>
      </c>
      <c r="N361" s="6">
        <v>60453.7615445</v>
      </c>
      <c r="O361" s="6">
        <v>60455.273023</v>
      </c>
      <c r="P361" s="6">
        <v>60461.31205165</v>
      </c>
      <c r="Q361" s="6">
        <v>50</v>
      </c>
      <c r="R361" s="6">
        <v>51</v>
      </c>
      <c r="S361" s="6">
        <v>51</v>
      </c>
      <c r="T361" s="6">
        <v>503.2110269676117</v>
      </c>
      <c r="U361" s="6">
        <v>60454.51413719511</v>
      </c>
      <c r="V361" s="6">
        <v>60475.45293593958</v>
      </c>
      <c r="W361" s="4">
        <v>0</v>
      </c>
      <c r="X361" s="4">
        <v>0</v>
      </c>
      <c r="Y361" s="4">
        <v>0</v>
      </c>
      <c r="Z361" s="4" t="s">
        <v>865</v>
      </c>
      <c r="AA361" s="4" t="s">
        <v>866</v>
      </c>
    </row>
    <row r="362" ht="30" customHeight="1" spans="1:27" x14ac:dyDescent="0.25">
      <c r="A362" s="4" t="s">
        <v>146</v>
      </c>
      <c r="B362" s="4" t="s">
        <v>101</v>
      </c>
      <c r="C362" s="4">
        <v>15000</v>
      </c>
      <c r="D362" s="4" t="s">
        <v>79</v>
      </c>
      <c r="E362" s="4">
        <v>8</v>
      </c>
      <c r="F362" s="4">
        <v>937</v>
      </c>
      <c r="G362" s="4">
        <v>10455</v>
      </c>
      <c r="H362" s="4">
        <v>5187</v>
      </c>
      <c r="I362" s="4">
        <v>9519</v>
      </c>
      <c r="J362" s="5">
        <v>0</v>
      </c>
      <c r="K362" s="6">
        <v>502.487634</v>
      </c>
      <c r="L362" s="6">
        <v>503.7920906</v>
      </c>
      <c r="M362" s="6">
        <v>510.79678218</v>
      </c>
      <c r="N362" s="6">
        <v>60453.751476</v>
      </c>
      <c r="O362" s="6">
        <v>60455.2840156</v>
      </c>
      <c r="P362" s="6">
        <v>60460.31708258</v>
      </c>
      <c r="Q362" s="6">
        <v>50</v>
      </c>
      <c r="R362" s="6">
        <v>51</v>
      </c>
      <c r="S362" s="6">
        <v>51</v>
      </c>
      <c r="T362" s="6">
        <v>503.40475373084485</v>
      </c>
      <c r="U362" s="6">
        <v>60454.68596976309</v>
      </c>
      <c r="V362" s="6">
        <v>60475.541353699286</v>
      </c>
      <c r="W362" s="4">
        <v>0</v>
      </c>
      <c r="X362" s="4">
        <v>0</v>
      </c>
      <c r="Y362" s="4">
        <v>0</v>
      </c>
      <c r="Z362" s="4" t="s">
        <v>867</v>
      </c>
      <c r="AA362" s="4" t="s">
        <v>868</v>
      </c>
    </row>
    <row r="363" ht="30" customHeight="1" spans="1:27" x14ac:dyDescent="0.25">
      <c r="A363" s="4" t="s">
        <v>146</v>
      </c>
      <c r="B363" s="4" t="s">
        <v>101</v>
      </c>
      <c r="C363" s="4">
        <v>15000</v>
      </c>
      <c r="D363" s="4" t="s">
        <v>79</v>
      </c>
      <c r="E363" s="4">
        <v>9</v>
      </c>
      <c r="F363" s="4">
        <v>937</v>
      </c>
      <c r="G363" s="4">
        <v>10458</v>
      </c>
      <c r="H363" s="4">
        <v>5244</v>
      </c>
      <c r="I363" s="4">
        <v>9521</v>
      </c>
      <c r="J363" s="5">
        <v>0</v>
      </c>
      <c r="K363" s="6">
        <v>502.499152</v>
      </c>
      <c r="L363" s="6">
        <v>503.8182272</v>
      </c>
      <c r="M363" s="6">
        <v>509.43240496</v>
      </c>
      <c r="N363" s="6">
        <v>60453.7410845</v>
      </c>
      <c r="O363" s="6">
        <v>60455.2582267</v>
      </c>
      <c r="P363" s="6">
        <v>60459.39625816</v>
      </c>
      <c r="Q363" s="6">
        <v>50</v>
      </c>
      <c r="R363" s="6">
        <v>51</v>
      </c>
      <c r="S363" s="6">
        <v>51</v>
      </c>
      <c r="T363" s="6">
        <v>503.3513180206563</v>
      </c>
      <c r="U363" s="6">
        <v>60454.606609856884</v>
      </c>
      <c r="V363" s="6">
        <v>60475.45741432649</v>
      </c>
      <c r="W363" s="4">
        <v>0</v>
      </c>
      <c r="X363" s="4">
        <v>0</v>
      </c>
      <c r="Y363" s="4">
        <v>0</v>
      </c>
      <c r="Z363" s="4" t="s">
        <v>869</v>
      </c>
      <c r="AA363" s="4" t="s">
        <v>870</v>
      </c>
    </row>
    <row r="364" ht="30" customHeight="1" spans="1:27" x14ac:dyDescent="0.25">
      <c r="A364" s="4" t="s">
        <v>146</v>
      </c>
      <c r="B364" s="4" t="s">
        <v>101</v>
      </c>
      <c r="C364" s="4">
        <v>15000</v>
      </c>
      <c r="D364" s="4" t="s">
        <v>79</v>
      </c>
      <c r="E364" s="4">
        <v>10</v>
      </c>
      <c r="F364" s="4">
        <v>937</v>
      </c>
      <c r="G364" s="4">
        <v>10456</v>
      </c>
      <c r="H364" s="4">
        <v>5207</v>
      </c>
      <c r="I364" s="4">
        <v>9519</v>
      </c>
      <c r="J364" s="5">
        <v>0</v>
      </c>
      <c r="K364" s="6">
        <v>502.49785099999997</v>
      </c>
      <c r="L364" s="6">
        <v>503.8274265</v>
      </c>
      <c r="M364" s="6">
        <v>509.61306275</v>
      </c>
      <c r="N364" s="6">
        <v>60453.762266</v>
      </c>
      <c r="O364" s="6">
        <v>60455.223895999996</v>
      </c>
      <c r="P364" s="6">
        <v>60459.08392195</v>
      </c>
      <c r="Q364" s="6">
        <v>50</v>
      </c>
      <c r="R364" s="6">
        <v>51</v>
      </c>
      <c r="S364" s="6">
        <v>51</v>
      </c>
      <c r="T364" s="6">
        <v>503.1190524454885</v>
      </c>
      <c r="U364" s="6">
        <v>60454.372910357</v>
      </c>
      <c r="V364" s="6">
        <v>60475.11567397655</v>
      </c>
      <c r="W364" s="4">
        <v>0</v>
      </c>
      <c r="X364" s="4">
        <v>0</v>
      </c>
      <c r="Y364" s="4">
        <v>0</v>
      </c>
      <c r="Z364" s="4" t="s">
        <v>871</v>
      </c>
      <c r="AA364" s="4" t="s">
        <v>872</v>
      </c>
    </row>
    <row r="365" ht="30" customHeight="1" spans="1:27" x14ac:dyDescent="0.25">
      <c r="A365" s="4" t="s">
        <v>146</v>
      </c>
      <c r="B365" s="4" t="s">
        <v>101</v>
      </c>
      <c r="C365" s="4">
        <v>15000</v>
      </c>
      <c r="D365" s="4" t="s">
        <v>79</v>
      </c>
      <c r="E365" s="4">
        <v>11</v>
      </c>
      <c r="F365" s="4">
        <v>937</v>
      </c>
      <c r="G365" s="4">
        <v>10456</v>
      </c>
      <c r="H365" s="4">
        <v>5261</v>
      </c>
      <c r="I365" s="4">
        <v>9520</v>
      </c>
      <c r="J365" s="5">
        <v>0</v>
      </c>
      <c r="K365" s="6">
        <v>502.4811795</v>
      </c>
      <c r="L365" s="6">
        <v>503.775331</v>
      </c>
      <c r="M365" s="6">
        <v>510.59732975000003</v>
      </c>
      <c r="N365" s="6">
        <v>60453.7339015</v>
      </c>
      <c r="O365" s="6">
        <v>60455.2644785</v>
      </c>
      <c r="P365" s="6">
        <v>60460.24738655</v>
      </c>
      <c r="Q365" s="6">
        <v>50</v>
      </c>
      <c r="R365" s="6">
        <v>51</v>
      </c>
      <c r="S365" s="6">
        <v>51</v>
      </c>
      <c r="T365" s="6">
        <v>503.3752840801435</v>
      </c>
      <c r="U365" s="6">
        <v>60454.65311518838</v>
      </c>
      <c r="V365" s="6">
        <v>60475.7476881584</v>
      </c>
      <c r="W365" s="4">
        <v>0</v>
      </c>
      <c r="X365" s="4">
        <v>0</v>
      </c>
      <c r="Y365" s="4">
        <v>0</v>
      </c>
      <c r="Z365" s="4" t="s">
        <v>873</v>
      </c>
      <c r="AA365" s="4" t="s">
        <v>874</v>
      </c>
    </row>
    <row r="366" ht="30" customHeight="1" spans="1:27" x14ac:dyDescent="0.25">
      <c r="A366" s="4" t="s">
        <v>146</v>
      </c>
      <c r="B366" s="4" t="s">
        <v>101</v>
      </c>
      <c r="C366" s="4">
        <v>15000</v>
      </c>
      <c r="D366" s="4" t="s">
        <v>79</v>
      </c>
      <c r="E366" s="4">
        <v>12</v>
      </c>
      <c r="F366" s="4">
        <v>937</v>
      </c>
      <c r="G366" s="4">
        <v>10457</v>
      </c>
      <c r="H366" s="4">
        <v>5248</v>
      </c>
      <c r="I366" s="4">
        <v>9521</v>
      </c>
      <c r="J366" s="5">
        <v>0</v>
      </c>
      <c r="K366" s="6">
        <v>502.470298</v>
      </c>
      <c r="L366" s="6">
        <v>503.8070806</v>
      </c>
      <c r="M366" s="6">
        <v>508.8078668</v>
      </c>
      <c r="N366" s="6">
        <v>60453.726614</v>
      </c>
      <c r="O366" s="6">
        <v>60455.2859418</v>
      </c>
      <c r="P366" s="6">
        <v>60459.25783012</v>
      </c>
      <c r="Q366" s="6">
        <v>50</v>
      </c>
      <c r="R366" s="6">
        <v>51</v>
      </c>
      <c r="S366" s="6">
        <v>51</v>
      </c>
      <c r="T366" s="6">
        <v>503.2601217350091</v>
      </c>
      <c r="U366" s="6">
        <v>60454.549264924106</v>
      </c>
      <c r="V366" s="6">
        <v>60475.42101316034</v>
      </c>
      <c r="W366" s="4">
        <v>0</v>
      </c>
      <c r="X366" s="4">
        <v>0</v>
      </c>
      <c r="Y366" s="4">
        <v>0</v>
      </c>
      <c r="Z366" s="4" t="s">
        <v>875</v>
      </c>
      <c r="AA366" s="4" t="s">
        <v>876</v>
      </c>
    </row>
    <row r="367" ht="30" customHeight="1" spans="1:27" x14ac:dyDescent="0.25">
      <c r="A367" s="4" t="s">
        <v>146</v>
      </c>
      <c r="B367" s="4" t="s">
        <v>101</v>
      </c>
      <c r="C367" s="4">
        <v>15000</v>
      </c>
      <c r="D367" s="4" t="s">
        <v>79</v>
      </c>
      <c r="E367" s="4">
        <v>13</v>
      </c>
      <c r="F367" s="4">
        <v>937</v>
      </c>
      <c r="G367" s="4">
        <v>10457</v>
      </c>
      <c r="H367" s="4">
        <v>5334</v>
      </c>
      <c r="I367" s="4">
        <v>9520</v>
      </c>
      <c r="J367" s="5">
        <v>0</v>
      </c>
      <c r="K367" s="6">
        <v>502.473711</v>
      </c>
      <c r="L367" s="6">
        <v>503.77739579999997</v>
      </c>
      <c r="M367" s="6">
        <v>509.10155116000004</v>
      </c>
      <c r="N367" s="6">
        <v>60453.774493</v>
      </c>
      <c r="O367" s="6">
        <v>60455.2887048</v>
      </c>
      <c r="P367" s="6">
        <v>60460.81112168</v>
      </c>
      <c r="Q367" s="6">
        <v>50</v>
      </c>
      <c r="R367" s="6">
        <v>51</v>
      </c>
      <c r="S367" s="6">
        <v>51</v>
      </c>
      <c r="T367" s="6">
        <v>503.07981970106295</v>
      </c>
      <c r="U367" s="6">
        <v>60454.42903623079</v>
      </c>
      <c r="V367" s="6">
        <v>60475.667193951405</v>
      </c>
      <c r="W367" s="4">
        <v>0</v>
      </c>
      <c r="X367" s="4">
        <v>0</v>
      </c>
      <c r="Y367" s="4">
        <v>0</v>
      </c>
      <c r="Z367" s="4" t="s">
        <v>877</v>
      </c>
      <c r="AA367" s="4" t="s">
        <v>878</v>
      </c>
    </row>
    <row r="368" ht="30" customHeight="1" spans="1:27" x14ac:dyDescent="0.25">
      <c r="A368" s="4" t="s">
        <v>146</v>
      </c>
      <c r="B368" s="4" t="s">
        <v>101</v>
      </c>
      <c r="C368" s="4">
        <v>15000</v>
      </c>
      <c r="D368" s="4" t="s">
        <v>79</v>
      </c>
      <c r="E368" s="4">
        <v>14</v>
      </c>
      <c r="F368" s="4">
        <v>937</v>
      </c>
      <c r="G368" s="4">
        <v>10456</v>
      </c>
      <c r="H368" s="4">
        <v>5257</v>
      </c>
      <c r="I368" s="4">
        <v>9520</v>
      </c>
      <c r="J368" s="5">
        <v>0</v>
      </c>
      <c r="K368" s="6">
        <v>502.49914750000005</v>
      </c>
      <c r="L368" s="6">
        <v>503.7464895</v>
      </c>
      <c r="M368" s="6">
        <v>508.65582835000004</v>
      </c>
      <c r="N368" s="6">
        <v>60453.7328355</v>
      </c>
      <c r="O368" s="6">
        <v>60455.3045325</v>
      </c>
      <c r="P368" s="6">
        <v>60460.6231059</v>
      </c>
      <c r="Q368" s="6">
        <v>50</v>
      </c>
      <c r="R368" s="6">
        <v>51</v>
      </c>
      <c r="S368" s="6">
        <v>51</v>
      </c>
      <c r="T368" s="6">
        <v>503.21078071537914</v>
      </c>
      <c r="U368" s="6">
        <v>60454.52252496146</v>
      </c>
      <c r="V368" s="6">
        <v>60475.4825366324</v>
      </c>
      <c r="W368" s="4">
        <v>0</v>
      </c>
      <c r="X368" s="4">
        <v>0</v>
      </c>
      <c r="Y368" s="4">
        <v>0</v>
      </c>
      <c r="Z368" s="4" t="s">
        <v>879</v>
      </c>
      <c r="AA368" s="4" t="s">
        <v>880</v>
      </c>
    </row>
    <row r="369" ht="30" customHeight="1" spans="1:27" x14ac:dyDescent="0.25">
      <c r="A369" s="4" t="s">
        <v>146</v>
      </c>
      <c r="B369" s="4" t="s">
        <v>101</v>
      </c>
      <c r="C369" s="4">
        <v>15000</v>
      </c>
      <c r="D369" s="4" t="s">
        <v>79</v>
      </c>
      <c r="E369" s="4">
        <v>15</v>
      </c>
      <c r="F369" s="4">
        <v>937</v>
      </c>
      <c r="G369" s="4">
        <v>10456</v>
      </c>
      <c r="H369" s="4">
        <v>5207</v>
      </c>
      <c r="I369" s="4">
        <v>9519</v>
      </c>
      <c r="J369" s="5">
        <v>0</v>
      </c>
      <c r="K369" s="6">
        <v>502.4787885</v>
      </c>
      <c r="L369" s="6">
        <v>503.80272749999995</v>
      </c>
      <c r="M369" s="6">
        <v>508.9121130500001</v>
      </c>
      <c r="N369" s="6">
        <v>60453.7304085</v>
      </c>
      <c r="O369" s="6">
        <v>60455.3015915</v>
      </c>
      <c r="P369" s="6">
        <v>60459.3161549</v>
      </c>
      <c r="Q369" s="6">
        <v>50</v>
      </c>
      <c r="R369" s="6">
        <v>51</v>
      </c>
      <c r="S369" s="6">
        <v>51</v>
      </c>
      <c r="T369" s="6">
        <v>503.28679646853595</v>
      </c>
      <c r="U369" s="6">
        <v>60454.57792161399</v>
      </c>
      <c r="V369" s="6">
        <v>60475.3742018448</v>
      </c>
      <c r="W369" s="4">
        <v>0</v>
      </c>
      <c r="X369" s="4">
        <v>0</v>
      </c>
      <c r="Y369" s="4">
        <v>0</v>
      </c>
      <c r="Z369" s="4" t="s">
        <v>881</v>
      </c>
      <c r="AA369" s="4" t="s">
        <v>882</v>
      </c>
    </row>
    <row r="370" ht="30" customHeight="1" spans="1:27" x14ac:dyDescent="0.25">
      <c r="A370" s="4" t="s">
        <v>146</v>
      </c>
      <c r="B370" s="4" t="s">
        <v>101</v>
      </c>
      <c r="C370" s="4">
        <v>18000</v>
      </c>
      <c r="D370" s="4" t="s">
        <v>79</v>
      </c>
      <c r="E370" s="4">
        <v>0</v>
      </c>
      <c r="F370" s="4">
        <v>1125</v>
      </c>
      <c r="G370" s="4">
        <v>12555</v>
      </c>
      <c r="H370" s="4">
        <v>6403</v>
      </c>
      <c r="I370" s="4">
        <v>11430</v>
      </c>
      <c r="J370" s="5">
        <v>0</v>
      </c>
      <c r="K370" s="6">
        <v>502.467376</v>
      </c>
      <c r="L370" s="6">
        <v>503.75151120000004</v>
      </c>
      <c r="M370" s="6">
        <v>515.33273796</v>
      </c>
      <c r="N370" s="6">
        <v>60453.771925</v>
      </c>
      <c r="O370" s="6">
        <v>60455.2648834</v>
      </c>
      <c r="P370" s="6">
        <v>60464.342157440005</v>
      </c>
      <c r="Q370" s="6">
        <v>50</v>
      </c>
      <c r="R370" s="6">
        <v>51</v>
      </c>
      <c r="S370" s="6">
        <v>51</v>
      </c>
      <c r="T370" s="6">
        <v>503.5082150860219</v>
      </c>
      <c r="U370" s="6">
        <v>60454.75623635599</v>
      </c>
      <c r="V370" s="6">
        <v>60476.16982922081</v>
      </c>
      <c r="W370" s="4">
        <v>0</v>
      </c>
      <c r="X370" s="4">
        <v>0</v>
      </c>
      <c r="Y370" s="4">
        <v>0</v>
      </c>
      <c r="Z370" s="4" t="s">
        <v>883</v>
      </c>
      <c r="AA370" s="4" t="s">
        <v>884</v>
      </c>
    </row>
    <row r="371" ht="30" customHeight="1" spans="1:27" x14ac:dyDescent="0.25">
      <c r="A371" s="4" t="s">
        <v>146</v>
      </c>
      <c r="B371" s="4" t="s">
        <v>101</v>
      </c>
      <c r="C371" s="4">
        <v>18000</v>
      </c>
      <c r="D371" s="4" t="s">
        <v>79</v>
      </c>
      <c r="E371" s="4">
        <v>1</v>
      </c>
      <c r="F371" s="4">
        <v>1125</v>
      </c>
      <c r="G371" s="4">
        <v>12556</v>
      </c>
      <c r="H371" s="4">
        <v>6317</v>
      </c>
      <c r="I371" s="4">
        <v>11433</v>
      </c>
      <c r="J371" s="5">
        <v>0</v>
      </c>
      <c r="K371" s="6">
        <v>502.4883875</v>
      </c>
      <c r="L371" s="6">
        <v>503.77639350000004</v>
      </c>
      <c r="M371" s="6">
        <v>515.8989521</v>
      </c>
      <c r="N371" s="6">
        <v>60453.791941999996</v>
      </c>
      <c r="O371" s="6">
        <v>60455.3129485</v>
      </c>
      <c r="P371" s="6">
        <v>60464.4686864</v>
      </c>
      <c r="Q371" s="6">
        <v>50</v>
      </c>
      <c r="R371" s="6">
        <v>51</v>
      </c>
      <c r="S371" s="6">
        <v>51</v>
      </c>
      <c r="T371" s="6">
        <v>503.34601504778436</v>
      </c>
      <c r="U371" s="6">
        <v>60454.59879410951</v>
      </c>
      <c r="V371" s="6">
        <v>60475.7242116253</v>
      </c>
      <c r="W371" s="4">
        <v>0</v>
      </c>
      <c r="X371" s="4">
        <v>0</v>
      </c>
      <c r="Y371" s="4">
        <v>0</v>
      </c>
      <c r="Z371" s="4" t="s">
        <v>885</v>
      </c>
      <c r="AA371" s="4" t="s">
        <v>886</v>
      </c>
    </row>
    <row r="372" ht="30" customHeight="1" spans="1:27" x14ac:dyDescent="0.25">
      <c r="A372" s="4" t="s">
        <v>146</v>
      </c>
      <c r="B372" s="4" t="s">
        <v>101</v>
      </c>
      <c r="C372" s="4">
        <v>18000</v>
      </c>
      <c r="D372" s="4" t="s">
        <v>79</v>
      </c>
      <c r="E372" s="4">
        <v>2</v>
      </c>
      <c r="F372" s="4">
        <v>1125</v>
      </c>
      <c r="G372" s="4">
        <v>12555</v>
      </c>
      <c r="H372" s="4">
        <v>6193</v>
      </c>
      <c r="I372" s="4">
        <v>11431</v>
      </c>
      <c r="J372" s="5">
        <v>0</v>
      </c>
      <c r="K372" s="6">
        <v>502.47922</v>
      </c>
      <c r="L372" s="6">
        <v>503.7421716</v>
      </c>
      <c r="M372" s="6">
        <v>515.0254015999997</v>
      </c>
      <c r="N372" s="6">
        <v>60453.762108</v>
      </c>
      <c r="O372" s="6">
        <v>60455.2583274</v>
      </c>
      <c r="P372" s="6">
        <v>60463.69184312</v>
      </c>
      <c r="Q372" s="6">
        <v>50</v>
      </c>
      <c r="R372" s="6">
        <v>51</v>
      </c>
      <c r="S372" s="6">
        <v>51</v>
      </c>
      <c r="T372" s="6">
        <v>503.4393773344474</v>
      </c>
      <c r="U372" s="6">
        <v>60454.69793597327</v>
      </c>
      <c r="V372" s="6">
        <v>60475.42646725799</v>
      </c>
      <c r="W372" s="4">
        <v>0</v>
      </c>
      <c r="X372" s="4">
        <v>0</v>
      </c>
      <c r="Y372" s="4">
        <v>0</v>
      </c>
      <c r="Z372" s="4" t="s">
        <v>887</v>
      </c>
      <c r="AA372" s="4" t="s">
        <v>888</v>
      </c>
    </row>
    <row r="373" ht="30" customHeight="1" spans="1:27" x14ac:dyDescent="0.25">
      <c r="A373" s="4" t="s">
        <v>146</v>
      </c>
      <c r="B373" s="4" t="s">
        <v>101</v>
      </c>
      <c r="C373" s="4">
        <v>18000</v>
      </c>
      <c r="D373" s="4" t="s">
        <v>79</v>
      </c>
      <c r="E373" s="4">
        <v>3</v>
      </c>
      <c r="F373" s="4">
        <v>1125</v>
      </c>
      <c r="G373" s="4">
        <v>12553</v>
      </c>
      <c r="H373" s="4">
        <v>6211</v>
      </c>
      <c r="I373" s="4">
        <v>11429</v>
      </c>
      <c r="J373" s="5">
        <v>0</v>
      </c>
      <c r="K373" s="6">
        <v>502.492981</v>
      </c>
      <c r="L373" s="6">
        <v>503.792079</v>
      </c>
      <c r="M373" s="6">
        <v>514.86248512</v>
      </c>
      <c r="N373" s="6">
        <v>60453.796524</v>
      </c>
      <c r="O373" s="6">
        <v>60455.2677188</v>
      </c>
      <c r="P373" s="6">
        <v>60463.692187839995</v>
      </c>
      <c r="Q373" s="6">
        <v>50</v>
      </c>
      <c r="R373" s="6">
        <v>51</v>
      </c>
      <c r="S373" s="6">
        <v>51</v>
      </c>
      <c r="T373" s="6">
        <v>503.4793472827223</v>
      </c>
      <c r="U373" s="6">
        <v>60454.750935799435</v>
      </c>
      <c r="V373" s="6">
        <v>60475.38396463352</v>
      </c>
      <c r="W373" s="4">
        <v>0</v>
      </c>
      <c r="X373" s="4">
        <v>0</v>
      </c>
      <c r="Y373" s="4">
        <v>0</v>
      </c>
      <c r="Z373" s="4" t="s">
        <v>889</v>
      </c>
      <c r="AA373" s="4" t="s">
        <v>890</v>
      </c>
    </row>
    <row r="374" ht="30" customHeight="1" spans="1:27" x14ac:dyDescent="0.25">
      <c r="A374" s="4" t="s">
        <v>146</v>
      </c>
      <c r="B374" s="4" t="s">
        <v>101</v>
      </c>
      <c r="C374" s="4">
        <v>18000</v>
      </c>
      <c r="D374" s="4" t="s">
        <v>79</v>
      </c>
      <c r="E374" s="4">
        <v>4</v>
      </c>
      <c r="F374" s="4">
        <v>1125</v>
      </c>
      <c r="G374" s="4">
        <v>12555</v>
      </c>
      <c r="H374" s="4">
        <v>6402</v>
      </c>
      <c r="I374" s="4">
        <v>11432</v>
      </c>
      <c r="J374" s="5">
        <v>0</v>
      </c>
      <c r="K374" s="6">
        <v>502.493718</v>
      </c>
      <c r="L374" s="6">
        <v>503.80652380000004</v>
      </c>
      <c r="M374" s="6">
        <v>515.85273386</v>
      </c>
      <c r="N374" s="6">
        <v>60453.805023</v>
      </c>
      <c r="O374" s="6">
        <v>60455.2700272</v>
      </c>
      <c r="P374" s="6">
        <v>60464.26093376</v>
      </c>
      <c r="Q374" s="6">
        <v>50</v>
      </c>
      <c r="R374" s="6">
        <v>51</v>
      </c>
      <c r="S374" s="6">
        <v>51</v>
      </c>
      <c r="T374" s="6">
        <v>503.65490436590903</v>
      </c>
      <c r="U374" s="6">
        <v>60454.91622680249</v>
      </c>
      <c r="V374" s="6">
        <v>60476.34212788102</v>
      </c>
      <c r="W374" s="4">
        <v>0</v>
      </c>
      <c r="X374" s="4">
        <v>0</v>
      </c>
      <c r="Y374" s="4">
        <v>0</v>
      </c>
      <c r="Z374" s="4" t="s">
        <v>891</v>
      </c>
      <c r="AA374" s="4" t="s">
        <v>892</v>
      </c>
    </row>
    <row r="375" ht="30" customHeight="1" spans="1:27" x14ac:dyDescent="0.25">
      <c r="A375" s="4" t="s">
        <v>146</v>
      </c>
      <c r="B375" s="4" t="s">
        <v>101</v>
      </c>
      <c r="C375" s="4">
        <v>18000</v>
      </c>
      <c r="D375" s="4" t="s">
        <v>79</v>
      </c>
      <c r="E375" s="4">
        <v>5</v>
      </c>
      <c r="F375" s="4">
        <v>1125</v>
      </c>
      <c r="G375" s="4">
        <v>12554</v>
      </c>
      <c r="H375" s="4">
        <v>6388</v>
      </c>
      <c r="I375" s="4">
        <v>11429</v>
      </c>
      <c r="J375" s="5">
        <v>0</v>
      </c>
      <c r="K375" s="6">
        <v>502.47168999999997</v>
      </c>
      <c r="L375" s="6">
        <v>503.77752150000003</v>
      </c>
      <c r="M375" s="6">
        <v>515.03628653</v>
      </c>
      <c r="N375" s="6">
        <v>60453.770559</v>
      </c>
      <c r="O375" s="6">
        <v>60455.3071117</v>
      </c>
      <c r="P375" s="6">
        <v>60464.75805777</v>
      </c>
      <c r="Q375" s="6">
        <v>50</v>
      </c>
      <c r="R375" s="6">
        <v>51</v>
      </c>
      <c r="S375" s="6">
        <v>51</v>
      </c>
      <c r="T375" s="6">
        <v>503.39689262187414</v>
      </c>
      <c r="U375" s="6">
        <v>60454.67194560153</v>
      </c>
      <c r="V375" s="6">
        <v>60476.12346743687</v>
      </c>
      <c r="W375" s="4">
        <v>0</v>
      </c>
      <c r="X375" s="4">
        <v>0</v>
      </c>
      <c r="Y375" s="4">
        <v>0</v>
      </c>
      <c r="Z375" s="4" t="s">
        <v>893</v>
      </c>
      <c r="AA375" s="4" t="s">
        <v>894</v>
      </c>
    </row>
    <row r="376" ht="30" customHeight="1" spans="1:27" x14ac:dyDescent="0.25">
      <c r="A376" s="4" t="s">
        <v>146</v>
      </c>
      <c r="B376" s="4" t="s">
        <v>101</v>
      </c>
      <c r="C376" s="4">
        <v>18000</v>
      </c>
      <c r="D376" s="4" t="s">
        <v>79</v>
      </c>
      <c r="E376" s="4">
        <v>6</v>
      </c>
      <c r="F376" s="4">
        <v>1125</v>
      </c>
      <c r="G376" s="4">
        <v>12557</v>
      </c>
      <c r="H376" s="4">
        <v>6312</v>
      </c>
      <c r="I376" s="4">
        <v>11432</v>
      </c>
      <c r="J376" s="5">
        <v>0</v>
      </c>
      <c r="K376" s="6">
        <v>502.478043</v>
      </c>
      <c r="L376" s="6">
        <v>503.7512886</v>
      </c>
      <c r="M376" s="6">
        <v>514.24709016</v>
      </c>
      <c r="N376" s="6">
        <v>60453.782922</v>
      </c>
      <c r="O376" s="6">
        <v>60455.2596546</v>
      </c>
      <c r="P376" s="6">
        <v>60463.653973680004</v>
      </c>
      <c r="Q376" s="6">
        <v>50</v>
      </c>
      <c r="R376" s="6">
        <v>51</v>
      </c>
      <c r="S376" s="6">
        <v>51</v>
      </c>
      <c r="T376" s="6">
        <v>503.31116345536424</v>
      </c>
      <c r="U376" s="6">
        <v>60454.59047929052</v>
      </c>
      <c r="V376" s="6">
        <v>60475.72387384306</v>
      </c>
      <c r="W376" s="4">
        <v>0</v>
      </c>
      <c r="X376" s="4">
        <v>0</v>
      </c>
      <c r="Y376" s="4">
        <v>0</v>
      </c>
      <c r="Z376" s="4" t="s">
        <v>895</v>
      </c>
      <c r="AA376" s="4" t="s">
        <v>896</v>
      </c>
    </row>
    <row r="377" ht="30" customHeight="1" spans="1:27" x14ac:dyDescent="0.25">
      <c r="A377" s="4" t="s">
        <v>146</v>
      </c>
      <c r="B377" s="4" t="s">
        <v>101</v>
      </c>
      <c r="C377" s="4">
        <v>18000</v>
      </c>
      <c r="D377" s="4" t="s">
        <v>79</v>
      </c>
      <c r="E377" s="4">
        <v>7</v>
      </c>
      <c r="F377" s="4">
        <v>1125</v>
      </c>
      <c r="G377" s="4">
        <v>12554</v>
      </c>
      <c r="H377" s="4">
        <v>6326</v>
      </c>
      <c r="I377" s="4">
        <v>11430</v>
      </c>
      <c r="J377" s="5">
        <v>0</v>
      </c>
      <c r="K377" s="6">
        <v>502.47280550000005</v>
      </c>
      <c r="L377" s="6">
        <v>503.7331883</v>
      </c>
      <c r="M377" s="6">
        <v>514.5914617599999</v>
      </c>
      <c r="N377" s="6">
        <v>60453.7610005</v>
      </c>
      <c r="O377" s="6">
        <v>60455.2625919</v>
      </c>
      <c r="P377" s="6">
        <v>60464.99393427</v>
      </c>
      <c r="Q377" s="6">
        <v>50</v>
      </c>
      <c r="R377" s="6">
        <v>51</v>
      </c>
      <c r="S377" s="6">
        <v>51</v>
      </c>
      <c r="T377" s="6">
        <v>503.6237224743494</v>
      </c>
      <c r="U377" s="6">
        <v>60454.909195111635</v>
      </c>
      <c r="V377" s="6">
        <v>60476.068886764515</v>
      </c>
      <c r="W377" s="4">
        <v>0</v>
      </c>
      <c r="X377" s="4">
        <v>0</v>
      </c>
      <c r="Y377" s="4">
        <v>0</v>
      </c>
      <c r="Z377" s="4" t="s">
        <v>897</v>
      </c>
      <c r="AA377" s="4" t="s">
        <v>898</v>
      </c>
    </row>
    <row r="378" ht="30" customHeight="1" spans="1:27" x14ac:dyDescent="0.25">
      <c r="A378" s="4" t="s">
        <v>146</v>
      </c>
      <c r="B378" s="4" t="s">
        <v>101</v>
      </c>
      <c r="C378" s="4">
        <v>18000</v>
      </c>
      <c r="D378" s="4" t="s">
        <v>79</v>
      </c>
      <c r="E378" s="4">
        <v>8</v>
      </c>
      <c r="F378" s="4">
        <v>1125</v>
      </c>
      <c r="G378" s="4">
        <v>12555</v>
      </c>
      <c r="H378" s="4">
        <v>6182</v>
      </c>
      <c r="I378" s="4">
        <v>11430</v>
      </c>
      <c r="J378" s="5">
        <v>0</v>
      </c>
      <c r="K378" s="6">
        <v>502.481461</v>
      </c>
      <c r="L378" s="6">
        <v>503.7375094</v>
      </c>
      <c r="M378" s="6">
        <v>515.7250300199998</v>
      </c>
      <c r="N378" s="6">
        <v>60453.766637</v>
      </c>
      <c r="O378" s="6">
        <v>60455.2312426</v>
      </c>
      <c r="P378" s="6">
        <v>60463.09169826</v>
      </c>
      <c r="Q378" s="6">
        <v>50</v>
      </c>
      <c r="R378" s="6">
        <v>51</v>
      </c>
      <c r="S378" s="6">
        <v>51</v>
      </c>
      <c r="T378" s="6">
        <v>503.41479384110073</v>
      </c>
      <c r="U378" s="6">
        <v>60454.67406134152</v>
      </c>
      <c r="V378" s="6">
        <v>60475.21663789196</v>
      </c>
      <c r="W378" s="4">
        <v>0</v>
      </c>
      <c r="X378" s="4">
        <v>0</v>
      </c>
      <c r="Y378" s="4">
        <v>0</v>
      </c>
      <c r="Z378" s="4" t="s">
        <v>899</v>
      </c>
      <c r="AA378" s="4" t="s">
        <v>900</v>
      </c>
    </row>
    <row r="379" ht="30" customHeight="1" spans="1:27" x14ac:dyDescent="0.25">
      <c r="A379" s="4" t="s">
        <v>146</v>
      </c>
      <c r="B379" s="4" t="s">
        <v>101</v>
      </c>
      <c r="C379" s="4">
        <v>18000</v>
      </c>
      <c r="D379" s="4" t="s">
        <v>79</v>
      </c>
      <c r="E379" s="4">
        <v>9</v>
      </c>
      <c r="F379" s="4">
        <v>1125</v>
      </c>
      <c r="G379" s="4">
        <v>12555</v>
      </c>
      <c r="H379" s="4">
        <v>6281</v>
      </c>
      <c r="I379" s="4">
        <v>11429</v>
      </c>
      <c r="J379" s="5">
        <v>0</v>
      </c>
      <c r="K379" s="6">
        <v>502.497955</v>
      </c>
      <c r="L379" s="6">
        <v>503.7651444</v>
      </c>
      <c r="M379" s="6">
        <v>513.84349088</v>
      </c>
      <c r="N379" s="6">
        <v>60453.783805</v>
      </c>
      <c r="O379" s="6">
        <v>60455.2923892</v>
      </c>
      <c r="P379" s="6">
        <v>60464.3829538</v>
      </c>
      <c r="Q379" s="6">
        <v>50</v>
      </c>
      <c r="R379" s="6">
        <v>51</v>
      </c>
      <c r="S379" s="6">
        <v>51</v>
      </c>
      <c r="T379" s="6">
        <v>503.5903581373148</v>
      </c>
      <c r="U379" s="6">
        <v>60454.895688058794</v>
      </c>
      <c r="V379" s="6">
        <v>60475.82143420073</v>
      </c>
      <c r="W379" s="4">
        <v>0</v>
      </c>
      <c r="X379" s="4">
        <v>0</v>
      </c>
      <c r="Y379" s="4">
        <v>0</v>
      </c>
      <c r="Z379" s="4" t="s">
        <v>901</v>
      </c>
      <c r="AA379" s="4" t="s">
        <v>902</v>
      </c>
    </row>
    <row r="380" ht="30" customHeight="1" spans="1:27" x14ac:dyDescent="0.25">
      <c r="A380" s="4" t="s">
        <v>146</v>
      </c>
      <c r="B380" s="4" t="s">
        <v>101</v>
      </c>
      <c r="C380" s="4">
        <v>18000</v>
      </c>
      <c r="D380" s="4" t="s">
        <v>79</v>
      </c>
      <c r="E380" s="4">
        <v>10</v>
      </c>
      <c r="F380" s="4">
        <v>1125</v>
      </c>
      <c r="G380" s="4">
        <v>12553</v>
      </c>
      <c r="H380" s="4">
        <v>6340</v>
      </c>
      <c r="I380" s="4">
        <v>11431</v>
      </c>
      <c r="J380" s="5">
        <v>0</v>
      </c>
      <c r="K380" s="6">
        <v>502.483873</v>
      </c>
      <c r="L380" s="6">
        <v>503.763418</v>
      </c>
      <c r="M380" s="6">
        <v>515.09046024</v>
      </c>
      <c r="N380" s="6">
        <v>60453.795431</v>
      </c>
      <c r="O380" s="6">
        <v>60455.281636</v>
      </c>
      <c r="P380" s="6">
        <v>60465.29665532</v>
      </c>
      <c r="Q380" s="6">
        <v>50</v>
      </c>
      <c r="R380" s="6">
        <v>51</v>
      </c>
      <c r="S380" s="6">
        <v>51</v>
      </c>
      <c r="T380" s="6">
        <v>503.42924734047574</v>
      </c>
      <c r="U380" s="6">
        <v>60454.7548066411</v>
      </c>
      <c r="V380" s="6">
        <v>60475.87927498879</v>
      </c>
      <c r="W380" s="4">
        <v>0</v>
      </c>
      <c r="X380" s="4">
        <v>0</v>
      </c>
      <c r="Y380" s="4">
        <v>0</v>
      </c>
      <c r="Z380" s="4" t="s">
        <v>903</v>
      </c>
      <c r="AA380" s="4" t="s">
        <v>904</v>
      </c>
    </row>
    <row r="381" ht="30" customHeight="1" spans="1:27" x14ac:dyDescent="0.25">
      <c r="A381" s="4" t="s">
        <v>146</v>
      </c>
      <c r="B381" s="4" t="s">
        <v>101</v>
      </c>
      <c r="C381" s="4">
        <v>18000</v>
      </c>
      <c r="D381" s="4" t="s">
        <v>79</v>
      </c>
      <c r="E381" s="4">
        <v>11</v>
      </c>
      <c r="F381" s="4">
        <v>1125</v>
      </c>
      <c r="G381" s="4">
        <v>12552</v>
      </c>
      <c r="H381" s="4">
        <v>6279</v>
      </c>
      <c r="I381" s="4">
        <v>11429</v>
      </c>
      <c r="J381" s="5">
        <v>0</v>
      </c>
      <c r="K381" s="6">
        <v>502.4762995</v>
      </c>
      <c r="L381" s="6">
        <v>503.7698371</v>
      </c>
      <c r="M381" s="6">
        <v>515.4185616699999</v>
      </c>
      <c r="N381" s="6">
        <v>60453.7933585</v>
      </c>
      <c r="O381" s="6">
        <v>60455.2958686</v>
      </c>
      <c r="P381" s="6">
        <v>60464.98256857</v>
      </c>
      <c r="Q381" s="6">
        <v>50</v>
      </c>
      <c r="R381" s="6">
        <v>51</v>
      </c>
      <c r="S381" s="6">
        <v>51</v>
      </c>
      <c r="T381" s="6">
        <v>503.4802918964307</v>
      </c>
      <c r="U381" s="6">
        <v>60454.77077958234</v>
      </c>
      <c r="V381" s="6">
        <v>60475.66783877921</v>
      </c>
      <c r="W381" s="4">
        <v>0</v>
      </c>
      <c r="X381" s="4">
        <v>0</v>
      </c>
      <c r="Y381" s="4">
        <v>0</v>
      </c>
      <c r="Z381" s="4" t="s">
        <v>905</v>
      </c>
      <c r="AA381" s="4" t="s">
        <v>906</v>
      </c>
    </row>
    <row r="382" ht="30" customHeight="1" spans="1:27" x14ac:dyDescent="0.25">
      <c r="A382" s="4" t="s">
        <v>146</v>
      </c>
      <c r="B382" s="4" t="s">
        <v>101</v>
      </c>
      <c r="C382" s="4">
        <v>18000</v>
      </c>
      <c r="D382" s="4" t="s">
        <v>79</v>
      </c>
      <c r="E382" s="4">
        <v>12</v>
      </c>
      <c r="F382" s="4">
        <v>1125</v>
      </c>
      <c r="G382" s="4">
        <v>12553</v>
      </c>
      <c r="H382" s="4">
        <v>6366</v>
      </c>
      <c r="I382" s="4">
        <v>11429</v>
      </c>
      <c r="J382" s="5">
        <v>0</v>
      </c>
      <c r="K382" s="6">
        <v>502.478184</v>
      </c>
      <c r="L382" s="6">
        <v>503.7135482</v>
      </c>
      <c r="M382" s="6">
        <v>514.3819489599999</v>
      </c>
      <c r="N382" s="6">
        <v>60453.770456</v>
      </c>
      <c r="O382" s="6">
        <v>60455.2905532</v>
      </c>
      <c r="P382" s="6">
        <v>60464.85389616</v>
      </c>
      <c r="Q382" s="6">
        <v>50</v>
      </c>
      <c r="R382" s="6">
        <v>51</v>
      </c>
      <c r="S382" s="6">
        <v>51</v>
      </c>
      <c r="T382" s="6">
        <v>503.5301523525845</v>
      </c>
      <c r="U382" s="6">
        <v>60454.82849615128</v>
      </c>
      <c r="V382" s="6">
        <v>60476.15623245287</v>
      </c>
      <c r="W382" s="4">
        <v>0</v>
      </c>
      <c r="X382" s="4">
        <v>0</v>
      </c>
      <c r="Y382" s="4">
        <v>0</v>
      </c>
      <c r="Z382" s="4" t="s">
        <v>907</v>
      </c>
      <c r="AA382" s="4" t="s">
        <v>908</v>
      </c>
    </row>
    <row r="383" ht="30" customHeight="1" spans="1:27" x14ac:dyDescent="0.25">
      <c r="A383" s="4" t="s">
        <v>146</v>
      </c>
      <c r="B383" s="4" t="s">
        <v>101</v>
      </c>
      <c r="C383" s="4">
        <v>18000</v>
      </c>
      <c r="D383" s="4" t="s">
        <v>79</v>
      </c>
      <c r="E383" s="4">
        <v>13</v>
      </c>
      <c r="F383" s="4">
        <v>1125</v>
      </c>
      <c r="G383" s="4">
        <v>12556</v>
      </c>
      <c r="H383" s="4">
        <v>6252</v>
      </c>
      <c r="I383" s="4">
        <v>11431</v>
      </c>
      <c r="J383" s="5">
        <v>0</v>
      </c>
      <c r="K383" s="6">
        <v>502.4906955</v>
      </c>
      <c r="L383" s="6">
        <v>503.7326275</v>
      </c>
      <c r="M383" s="6">
        <v>513.314961</v>
      </c>
      <c r="N383" s="6">
        <v>60453.800925999996</v>
      </c>
      <c r="O383" s="6">
        <v>60455.334353</v>
      </c>
      <c r="P383" s="6">
        <v>60464.98218055</v>
      </c>
      <c r="Q383" s="6">
        <v>50</v>
      </c>
      <c r="R383" s="6">
        <v>51</v>
      </c>
      <c r="S383" s="6">
        <v>51</v>
      </c>
      <c r="T383" s="6">
        <v>503.4557639792142</v>
      </c>
      <c r="U383" s="6">
        <v>60454.79717162843</v>
      </c>
      <c r="V383" s="6">
        <v>60475.783092864884</v>
      </c>
      <c r="W383" s="4">
        <v>0</v>
      </c>
      <c r="X383" s="4">
        <v>0</v>
      </c>
      <c r="Y383" s="4">
        <v>0</v>
      </c>
      <c r="Z383" s="4" t="s">
        <v>909</v>
      </c>
      <c r="AA383" s="4" t="s">
        <v>910</v>
      </c>
    </row>
    <row r="384" ht="30" customHeight="1" spans="1:27" x14ac:dyDescent="0.25">
      <c r="A384" s="4" t="s">
        <v>146</v>
      </c>
      <c r="B384" s="4" t="s">
        <v>101</v>
      </c>
      <c r="C384" s="4">
        <v>18000</v>
      </c>
      <c r="D384" s="4" t="s">
        <v>79</v>
      </c>
      <c r="E384" s="4">
        <v>14</v>
      </c>
      <c r="F384" s="4">
        <v>1125</v>
      </c>
      <c r="G384" s="4">
        <v>12554</v>
      </c>
      <c r="H384" s="4">
        <v>6226</v>
      </c>
      <c r="I384" s="4">
        <v>11430</v>
      </c>
      <c r="J384" s="5">
        <v>0</v>
      </c>
      <c r="K384" s="6">
        <v>502.4851735</v>
      </c>
      <c r="L384" s="6">
        <v>503.7883646</v>
      </c>
      <c r="M384" s="6">
        <v>515.2062339199999</v>
      </c>
      <c r="N384" s="6">
        <v>60453.795931</v>
      </c>
      <c r="O384" s="6">
        <v>60455.3232965</v>
      </c>
      <c r="P384" s="6">
        <v>60465.226065840005</v>
      </c>
      <c r="Q384" s="6">
        <v>50</v>
      </c>
      <c r="R384" s="6">
        <v>51</v>
      </c>
      <c r="S384" s="6">
        <v>51</v>
      </c>
      <c r="T384" s="6">
        <v>503.4625238529562</v>
      </c>
      <c r="U384" s="6">
        <v>60454.77212526117</v>
      </c>
      <c r="V384" s="6">
        <v>60475.56425605122</v>
      </c>
      <c r="W384" s="4">
        <v>0</v>
      </c>
      <c r="X384" s="4">
        <v>0</v>
      </c>
      <c r="Y384" s="4">
        <v>0</v>
      </c>
      <c r="Z384" s="4" t="s">
        <v>911</v>
      </c>
      <c r="AA384" s="4" t="s">
        <v>912</v>
      </c>
    </row>
    <row r="385" ht="30" customHeight="1" spans="1:27" x14ac:dyDescent="0.25">
      <c r="A385" s="4" t="s">
        <v>146</v>
      </c>
      <c r="B385" s="4" t="s">
        <v>101</v>
      </c>
      <c r="C385" s="4">
        <v>18000</v>
      </c>
      <c r="D385" s="4" t="s">
        <v>79</v>
      </c>
      <c r="E385" s="4">
        <v>15</v>
      </c>
      <c r="F385" s="4">
        <v>1125</v>
      </c>
      <c r="G385" s="4">
        <v>12554</v>
      </c>
      <c r="H385" s="4">
        <v>6182</v>
      </c>
      <c r="I385" s="4">
        <v>11429</v>
      </c>
      <c r="J385" s="5">
        <v>0</v>
      </c>
      <c r="K385" s="6">
        <v>502.47184400000003</v>
      </c>
      <c r="L385" s="6">
        <v>503.7435946</v>
      </c>
      <c r="M385" s="6">
        <v>514.6178613899999</v>
      </c>
      <c r="N385" s="6">
        <v>60453.770650499995</v>
      </c>
      <c r="O385" s="6">
        <v>60455.286583299996</v>
      </c>
      <c r="P385" s="6">
        <v>60464.86817523</v>
      </c>
      <c r="Q385" s="6">
        <v>50</v>
      </c>
      <c r="R385" s="6">
        <v>51</v>
      </c>
      <c r="S385" s="6">
        <v>51</v>
      </c>
      <c r="T385" s="6">
        <v>503.6639212523521</v>
      </c>
      <c r="U385" s="6">
        <v>60454.95783988016</v>
      </c>
      <c r="V385" s="6">
        <v>60475.70433156506</v>
      </c>
      <c r="W385" s="4">
        <v>0</v>
      </c>
      <c r="X385" s="4">
        <v>0</v>
      </c>
      <c r="Y385" s="4">
        <v>0</v>
      </c>
      <c r="Z385" s="4" t="s">
        <v>913</v>
      </c>
      <c r="AA385" s="4" t="s">
        <v>914</v>
      </c>
    </row>
    <row r="386" ht="30" customHeight="1" spans="1:27" x14ac:dyDescent="0.25">
      <c r="A386" s="4" t="s">
        <v>146</v>
      </c>
      <c r="B386" s="4" t="s">
        <v>108</v>
      </c>
      <c r="C386" s="4">
        <v>1000</v>
      </c>
      <c r="D386" s="4" t="s">
        <v>109</v>
      </c>
      <c r="E386" s="4">
        <v>0</v>
      </c>
      <c r="F386" s="4">
        <v>63</v>
      </c>
      <c r="G386" s="4">
        <v>701</v>
      </c>
      <c r="H386" s="4">
        <v>362</v>
      </c>
      <c r="I386" s="4">
        <v>639</v>
      </c>
      <c r="J386" s="5">
        <v>0</v>
      </c>
      <c r="K386" s="6">
        <v>503.489714</v>
      </c>
      <c r="L386" s="6">
        <v>505.877223</v>
      </c>
      <c r="M386" s="6">
        <v>509.297994</v>
      </c>
      <c r="N386" s="6">
        <v>60484.524358</v>
      </c>
      <c r="O386" s="6">
        <v>60486.838472</v>
      </c>
      <c r="P386" s="6">
        <v>60490.701729</v>
      </c>
      <c r="Q386" s="6">
        <v>20</v>
      </c>
      <c r="R386" s="6">
        <v>21</v>
      </c>
      <c r="S386" s="6">
        <v>21</v>
      </c>
      <c r="T386" s="6">
        <v>503.8367719786017</v>
      </c>
      <c r="U386" s="6">
        <v>60484.780156386616</v>
      </c>
      <c r="V386" s="6">
        <v>60526.68953678888</v>
      </c>
      <c r="W386" s="4">
        <v>0</v>
      </c>
      <c r="X386" s="4">
        <v>0</v>
      </c>
      <c r="Y386" s="4">
        <v>0</v>
      </c>
      <c r="Z386" s="4" t="s">
        <v>915</v>
      </c>
      <c r="AA386" s="4" t="s">
        <v>916</v>
      </c>
    </row>
    <row r="387" ht="30" customHeight="1" spans="1:27" x14ac:dyDescent="0.25">
      <c r="A387" s="4" t="s">
        <v>146</v>
      </c>
      <c r="B387" s="4" t="s">
        <v>108</v>
      </c>
      <c r="C387" s="4">
        <v>1000</v>
      </c>
      <c r="D387" s="4" t="s">
        <v>109</v>
      </c>
      <c r="E387" s="4">
        <v>1</v>
      </c>
      <c r="F387" s="4">
        <v>63</v>
      </c>
      <c r="G387" s="4">
        <v>702</v>
      </c>
      <c r="H387" s="4">
        <v>353</v>
      </c>
      <c r="I387" s="4">
        <v>639</v>
      </c>
      <c r="J387" s="5">
        <v>0</v>
      </c>
      <c r="K387" s="6">
        <v>503.4236735</v>
      </c>
      <c r="L387" s="6">
        <v>505.9342239</v>
      </c>
      <c r="M387" s="6">
        <v>510.91108922</v>
      </c>
      <c r="N387" s="6">
        <v>60484.3184835</v>
      </c>
      <c r="O387" s="6">
        <v>60486.9172693</v>
      </c>
      <c r="P387" s="6">
        <v>60491.424463719995</v>
      </c>
      <c r="Q387" s="6">
        <v>20</v>
      </c>
      <c r="R387" s="6">
        <v>21</v>
      </c>
      <c r="S387" s="6">
        <v>21</v>
      </c>
      <c r="T387" s="6">
        <v>503.85614413960064</v>
      </c>
      <c r="U387" s="6">
        <v>60484.762996515754</v>
      </c>
      <c r="V387" s="6">
        <v>60525.59727073218</v>
      </c>
      <c r="W387" s="4">
        <v>0</v>
      </c>
      <c r="X387" s="4">
        <v>0</v>
      </c>
      <c r="Y387" s="4">
        <v>0</v>
      </c>
      <c r="Z387" s="4" t="s">
        <v>917</v>
      </c>
      <c r="AA387" s="4" t="s">
        <v>918</v>
      </c>
    </row>
    <row r="388" ht="30" customHeight="1" spans="1:27" x14ac:dyDescent="0.25">
      <c r="A388" s="4" t="s">
        <v>146</v>
      </c>
      <c r="B388" s="4" t="s">
        <v>108</v>
      </c>
      <c r="C388" s="4">
        <v>1000</v>
      </c>
      <c r="D388" s="4" t="s">
        <v>109</v>
      </c>
      <c r="E388" s="4">
        <v>2</v>
      </c>
      <c r="F388" s="4">
        <v>63</v>
      </c>
      <c r="G388" s="4">
        <v>703</v>
      </c>
      <c r="H388" s="4">
        <v>343</v>
      </c>
      <c r="I388" s="4">
        <v>640</v>
      </c>
      <c r="J388" s="5">
        <v>0</v>
      </c>
      <c r="K388" s="6">
        <v>503.520691</v>
      </c>
      <c r="L388" s="6">
        <v>505.8229252</v>
      </c>
      <c r="M388" s="6">
        <v>509.24232318</v>
      </c>
      <c r="N388" s="6">
        <v>60484.391784</v>
      </c>
      <c r="O388" s="6">
        <v>60486.6048054</v>
      </c>
      <c r="P388" s="6">
        <v>60490.835099259995</v>
      </c>
      <c r="Q388" s="6">
        <v>20</v>
      </c>
      <c r="R388" s="6">
        <v>21</v>
      </c>
      <c r="S388" s="6">
        <v>21</v>
      </c>
      <c r="T388" s="6">
        <v>504.53802814509237</v>
      </c>
      <c r="U388" s="6">
        <v>60485.400883759685</v>
      </c>
      <c r="V388" s="6">
        <v>60524.33546837693</v>
      </c>
      <c r="W388" s="4">
        <v>0</v>
      </c>
      <c r="X388" s="4">
        <v>0</v>
      </c>
      <c r="Y388" s="4">
        <v>0</v>
      </c>
      <c r="Z388" s="4" t="s">
        <v>919</v>
      </c>
      <c r="AA388" s="4" t="s">
        <v>920</v>
      </c>
    </row>
    <row r="389" ht="30" customHeight="1" spans="1:27" x14ac:dyDescent="0.25">
      <c r="A389" s="4" t="s">
        <v>146</v>
      </c>
      <c r="B389" s="4" t="s">
        <v>108</v>
      </c>
      <c r="C389" s="4">
        <v>1000</v>
      </c>
      <c r="D389" s="4" t="s">
        <v>109</v>
      </c>
      <c r="E389" s="4">
        <v>3</v>
      </c>
      <c r="F389" s="4">
        <v>63</v>
      </c>
      <c r="G389" s="4">
        <v>702</v>
      </c>
      <c r="H389" s="4">
        <v>366</v>
      </c>
      <c r="I389" s="4">
        <v>639</v>
      </c>
      <c r="J389" s="5">
        <v>0</v>
      </c>
      <c r="K389" s="6">
        <v>503.4247855</v>
      </c>
      <c r="L389" s="6">
        <v>505.6757993</v>
      </c>
      <c r="M389" s="6">
        <v>509.46770035000003</v>
      </c>
      <c r="N389" s="6">
        <v>60484.533342</v>
      </c>
      <c r="O389" s="6">
        <v>60486.978362300004</v>
      </c>
      <c r="P389" s="6">
        <v>60490.238023980004</v>
      </c>
      <c r="Q389" s="6">
        <v>20</v>
      </c>
      <c r="R389" s="6">
        <v>21</v>
      </c>
      <c r="S389" s="6">
        <v>21</v>
      </c>
      <c r="T389" s="6">
        <v>503.8019020512819</v>
      </c>
      <c r="U389" s="6">
        <v>60484.84097160956</v>
      </c>
      <c r="V389" s="6">
        <v>60527.41415991315</v>
      </c>
      <c r="W389" s="4">
        <v>0</v>
      </c>
      <c r="X389" s="4">
        <v>0</v>
      </c>
      <c r="Y389" s="4">
        <v>0</v>
      </c>
      <c r="Z389" s="4" t="s">
        <v>921</v>
      </c>
      <c r="AA389" s="4" t="s">
        <v>922</v>
      </c>
    </row>
    <row r="390" ht="30" customHeight="1" spans="1:27" x14ac:dyDescent="0.25">
      <c r="A390" s="4" t="s">
        <v>146</v>
      </c>
      <c r="B390" s="4" t="s">
        <v>108</v>
      </c>
      <c r="C390" s="4">
        <v>1000</v>
      </c>
      <c r="D390" s="4" t="s">
        <v>109</v>
      </c>
      <c r="E390" s="4">
        <v>4</v>
      </c>
      <c r="F390" s="4">
        <v>63</v>
      </c>
      <c r="G390" s="4">
        <v>703</v>
      </c>
      <c r="H390" s="4">
        <v>350</v>
      </c>
      <c r="I390" s="4">
        <v>640</v>
      </c>
      <c r="J390" s="5">
        <v>0</v>
      </c>
      <c r="K390" s="6">
        <v>503.405979</v>
      </c>
      <c r="L390" s="6">
        <v>505.83324139999996</v>
      </c>
      <c r="M390" s="6">
        <v>511.18861792000007</v>
      </c>
      <c r="N390" s="6">
        <v>60484.46207</v>
      </c>
      <c r="O390" s="6">
        <v>60486.828945</v>
      </c>
      <c r="P390" s="6">
        <v>60490.06561428</v>
      </c>
      <c r="Q390" s="6">
        <v>20</v>
      </c>
      <c r="R390" s="6">
        <v>21</v>
      </c>
      <c r="S390" s="6">
        <v>21</v>
      </c>
      <c r="T390" s="6">
        <v>503.8526619928873</v>
      </c>
      <c r="U390" s="6">
        <v>60484.69863552068</v>
      </c>
      <c r="V390" s="6">
        <v>60525.25000206687</v>
      </c>
      <c r="W390" s="4">
        <v>0</v>
      </c>
      <c r="X390" s="4">
        <v>0</v>
      </c>
      <c r="Y390" s="4">
        <v>0</v>
      </c>
      <c r="Z390" s="4" t="s">
        <v>923</v>
      </c>
      <c r="AA390" s="4" t="s">
        <v>924</v>
      </c>
    </row>
    <row r="391" ht="30" customHeight="1" spans="1:27" x14ac:dyDescent="0.25">
      <c r="A391" s="4" t="s">
        <v>146</v>
      </c>
      <c r="B391" s="4" t="s">
        <v>108</v>
      </c>
      <c r="C391" s="4">
        <v>1000</v>
      </c>
      <c r="D391" s="4" t="s">
        <v>109</v>
      </c>
      <c r="E391" s="4">
        <v>5</v>
      </c>
      <c r="F391" s="4">
        <v>63</v>
      </c>
      <c r="G391" s="4">
        <v>702</v>
      </c>
      <c r="H391" s="4">
        <v>349</v>
      </c>
      <c r="I391" s="4">
        <v>639</v>
      </c>
      <c r="J391" s="5">
        <v>0</v>
      </c>
      <c r="K391" s="6">
        <v>503.4119635</v>
      </c>
      <c r="L391" s="6">
        <v>505.6686478</v>
      </c>
      <c r="M391" s="6">
        <v>509.22884177</v>
      </c>
      <c r="N391" s="6">
        <v>60484.415064500005</v>
      </c>
      <c r="O391" s="6">
        <v>60486.810410599996</v>
      </c>
      <c r="P391" s="6">
        <v>60490.542333239995</v>
      </c>
      <c r="Q391" s="6">
        <v>20</v>
      </c>
      <c r="R391" s="6">
        <v>21</v>
      </c>
      <c r="S391" s="6">
        <v>21</v>
      </c>
      <c r="T391" s="6">
        <v>503.9052602692313</v>
      </c>
      <c r="U391" s="6">
        <v>60484.76126560685</v>
      </c>
      <c r="V391" s="6">
        <v>60524.2207083191</v>
      </c>
      <c r="W391" s="4">
        <v>0</v>
      </c>
      <c r="X391" s="4">
        <v>0</v>
      </c>
      <c r="Y391" s="4">
        <v>0</v>
      </c>
      <c r="Z391" s="4" t="s">
        <v>925</v>
      </c>
      <c r="AA391" s="4" t="s">
        <v>926</v>
      </c>
    </row>
    <row r="392" ht="30" customHeight="1" spans="1:27" x14ac:dyDescent="0.25">
      <c r="A392" s="4" t="s">
        <v>146</v>
      </c>
      <c r="B392" s="4" t="s">
        <v>108</v>
      </c>
      <c r="C392" s="4">
        <v>1000</v>
      </c>
      <c r="D392" s="4" t="s">
        <v>109</v>
      </c>
      <c r="E392" s="4">
        <v>6</v>
      </c>
      <c r="F392" s="4">
        <v>63</v>
      </c>
      <c r="G392" s="4">
        <v>702</v>
      </c>
      <c r="H392" s="4">
        <v>338</v>
      </c>
      <c r="I392" s="4">
        <v>639</v>
      </c>
      <c r="J392" s="5">
        <v>0</v>
      </c>
      <c r="K392" s="6">
        <v>503.30470049999997</v>
      </c>
      <c r="L392" s="6">
        <v>505.5951665</v>
      </c>
      <c r="M392" s="6">
        <v>509.44187675</v>
      </c>
      <c r="N392" s="6">
        <v>60484.339711</v>
      </c>
      <c r="O392" s="6">
        <v>60486.8162959</v>
      </c>
      <c r="P392" s="6">
        <v>60489.7261242</v>
      </c>
      <c r="Q392" s="6">
        <v>20</v>
      </c>
      <c r="R392" s="6">
        <v>21</v>
      </c>
      <c r="S392" s="6">
        <v>21</v>
      </c>
      <c r="T392" s="6">
        <v>503.703043254986</v>
      </c>
      <c r="U392" s="6">
        <v>60484.72893446865</v>
      </c>
      <c r="V392" s="6">
        <v>60523.59128239603</v>
      </c>
      <c r="W392" s="4">
        <v>0</v>
      </c>
      <c r="X392" s="4">
        <v>0</v>
      </c>
      <c r="Y392" s="4">
        <v>0</v>
      </c>
      <c r="Z392" s="4" t="s">
        <v>927</v>
      </c>
      <c r="AA392" s="4" t="s">
        <v>928</v>
      </c>
    </row>
    <row r="393" ht="30" customHeight="1" spans="1:27" x14ac:dyDescent="0.25">
      <c r="A393" s="4" t="s">
        <v>146</v>
      </c>
      <c r="B393" s="4" t="s">
        <v>108</v>
      </c>
      <c r="C393" s="4">
        <v>1000</v>
      </c>
      <c r="D393" s="4" t="s">
        <v>109</v>
      </c>
      <c r="E393" s="4">
        <v>7</v>
      </c>
      <c r="F393" s="4">
        <v>63</v>
      </c>
      <c r="G393" s="4">
        <v>702</v>
      </c>
      <c r="H393" s="4">
        <v>335</v>
      </c>
      <c r="I393" s="4">
        <v>639</v>
      </c>
      <c r="J393" s="5">
        <v>0</v>
      </c>
      <c r="K393" s="6">
        <v>503.4029635</v>
      </c>
      <c r="L393" s="6">
        <v>505.7435501</v>
      </c>
      <c r="M393" s="6">
        <v>509.64071007</v>
      </c>
      <c r="N393" s="6">
        <v>60484.255492</v>
      </c>
      <c r="O393" s="6">
        <v>60486.5914943</v>
      </c>
      <c r="P393" s="6">
        <v>60489.62048848</v>
      </c>
      <c r="Q393" s="6">
        <v>20</v>
      </c>
      <c r="R393" s="6">
        <v>21</v>
      </c>
      <c r="S393" s="6">
        <v>21</v>
      </c>
      <c r="T393" s="6">
        <v>503.76066944444466</v>
      </c>
      <c r="U393" s="6">
        <v>60484.5924249187</v>
      </c>
      <c r="V393" s="6">
        <v>60523.4491887479</v>
      </c>
      <c r="W393" s="4">
        <v>0</v>
      </c>
      <c r="X393" s="4">
        <v>0</v>
      </c>
      <c r="Y393" s="4">
        <v>0</v>
      </c>
      <c r="Z393" s="4" t="s">
        <v>929</v>
      </c>
      <c r="AA393" s="4" t="s">
        <v>930</v>
      </c>
    </row>
    <row r="394" ht="30" customHeight="1" spans="1:27" x14ac:dyDescent="0.25">
      <c r="A394" s="4" t="s">
        <v>146</v>
      </c>
      <c r="B394" s="4" t="s">
        <v>108</v>
      </c>
      <c r="C394" s="4">
        <v>1000</v>
      </c>
      <c r="D394" s="4" t="s">
        <v>109</v>
      </c>
      <c r="E394" s="4">
        <v>8</v>
      </c>
      <c r="F394" s="4">
        <v>62</v>
      </c>
      <c r="G394" s="4">
        <v>691</v>
      </c>
      <c r="H394" s="4">
        <v>372</v>
      </c>
      <c r="I394" s="4">
        <v>629</v>
      </c>
      <c r="J394" s="5">
        <v>0</v>
      </c>
      <c r="K394" s="6">
        <v>503.302858</v>
      </c>
      <c r="L394" s="6">
        <v>505.783883</v>
      </c>
      <c r="M394" s="6">
        <v>509.66161420000003</v>
      </c>
      <c r="N394" s="6">
        <v>60484.464062</v>
      </c>
      <c r="O394" s="6">
        <v>60486.896616</v>
      </c>
      <c r="P394" s="6">
        <v>60489.5247815</v>
      </c>
      <c r="Q394" s="6">
        <v>20</v>
      </c>
      <c r="R394" s="6">
        <v>21</v>
      </c>
      <c r="S394" s="6">
        <v>21</v>
      </c>
      <c r="T394" s="6">
        <v>503.74365474674426</v>
      </c>
      <c r="U394" s="6">
        <v>60484.79372162369</v>
      </c>
      <c r="V394" s="6">
        <v>60527.64334005208</v>
      </c>
      <c r="W394" s="4">
        <v>0</v>
      </c>
      <c r="X394" s="4">
        <v>0</v>
      </c>
      <c r="Y394" s="4">
        <v>0</v>
      </c>
      <c r="Z394" s="4" t="s">
        <v>931</v>
      </c>
      <c r="AA394" s="4" t="s">
        <v>932</v>
      </c>
    </row>
    <row r="395" ht="30" customHeight="1" spans="1:27" x14ac:dyDescent="0.25">
      <c r="A395" s="4" t="s">
        <v>146</v>
      </c>
      <c r="B395" s="4" t="s">
        <v>108</v>
      </c>
      <c r="C395" s="4">
        <v>1000</v>
      </c>
      <c r="D395" s="4" t="s">
        <v>109</v>
      </c>
      <c r="E395" s="4">
        <v>9</v>
      </c>
      <c r="F395" s="4">
        <v>62</v>
      </c>
      <c r="G395" s="4">
        <v>691</v>
      </c>
      <c r="H395" s="4">
        <v>355</v>
      </c>
      <c r="I395" s="4">
        <v>629</v>
      </c>
      <c r="J395" s="5">
        <v>0</v>
      </c>
      <c r="K395" s="6">
        <v>503.365225</v>
      </c>
      <c r="L395" s="6">
        <v>505.715696</v>
      </c>
      <c r="M395" s="6">
        <v>509.15174520000005</v>
      </c>
      <c r="N395" s="6">
        <v>60484.364107</v>
      </c>
      <c r="O395" s="6">
        <v>60486.707798</v>
      </c>
      <c r="P395" s="6">
        <v>60490.190040099995</v>
      </c>
      <c r="Q395" s="6">
        <v>20</v>
      </c>
      <c r="R395" s="6">
        <v>21</v>
      </c>
      <c r="S395" s="6">
        <v>21</v>
      </c>
      <c r="T395" s="6">
        <v>503.80832567149076</v>
      </c>
      <c r="U395" s="6">
        <v>60484.73888061207</v>
      </c>
      <c r="V395" s="6">
        <v>60526.530471584636</v>
      </c>
      <c r="W395" s="4">
        <v>0</v>
      </c>
      <c r="X395" s="4">
        <v>0</v>
      </c>
      <c r="Y395" s="4">
        <v>0</v>
      </c>
      <c r="Z395" s="4" t="s">
        <v>933</v>
      </c>
      <c r="AA395" s="4" t="s">
        <v>934</v>
      </c>
    </row>
    <row r="396" ht="30" customHeight="1" spans="1:27" x14ac:dyDescent="0.25">
      <c r="A396" s="4" t="s">
        <v>146</v>
      </c>
      <c r="B396" s="4" t="s">
        <v>108</v>
      </c>
      <c r="C396" s="4">
        <v>1000</v>
      </c>
      <c r="D396" s="4" t="s">
        <v>109</v>
      </c>
      <c r="E396" s="4">
        <v>10</v>
      </c>
      <c r="F396" s="4">
        <v>62</v>
      </c>
      <c r="G396" s="4">
        <v>691</v>
      </c>
      <c r="H396" s="4">
        <v>328</v>
      </c>
      <c r="I396" s="4">
        <v>629</v>
      </c>
      <c r="J396" s="5">
        <v>0</v>
      </c>
      <c r="K396" s="6">
        <v>503.494198</v>
      </c>
      <c r="L396" s="6">
        <v>505.946707</v>
      </c>
      <c r="M396" s="6">
        <v>512.1834168</v>
      </c>
      <c r="N396" s="6">
        <v>60484.429071</v>
      </c>
      <c r="O396" s="6">
        <v>60486.723452</v>
      </c>
      <c r="P396" s="6">
        <v>60490.5821383</v>
      </c>
      <c r="Q396" s="6">
        <v>20</v>
      </c>
      <c r="R396" s="6">
        <v>21</v>
      </c>
      <c r="S396" s="6">
        <v>21</v>
      </c>
      <c r="T396" s="6">
        <v>504.00905101157656</v>
      </c>
      <c r="U396" s="6">
        <v>60484.767495020285</v>
      </c>
      <c r="V396" s="6">
        <v>60522.9734511664</v>
      </c>
      <c r="W396" s="4">
        <v>0</v>
      </c>
      <c r="X396" s="4">
        <v>0</v>
      </c>
      <c r="Y396" s="4">
        <v>0</v>
      </c>
      <c r="Z396" s="4" t="s">
        <v>935</v>
      </c>
      <c r="AA396" s="4" t="s">
        <v>936</v>
      </c>
    </row>
    <row r="397" ht="30" customHeight="1" spans="1:27" x14ac:dyDescent="0.25">
      <c r="A397" s="4" t="s">
        <v>146</v>
      </c>
      <c r="B397" s="4" t="s">
        <v>108</v>
      </c>
      <c r="C397" s="4">
        <v>1000</v>
      </c>
      <c r="D397" s="4" t="s">
        <v>109</v>
      </c>
      <c r="E397" s="4">
        <v>11</v>
      </c>
      <c r="F397" s="4">
        <v>62</v>
      </c>
      <c r="G397" s="4">
        <v>691</v>
      </c>
      <c r="H397" s="4">
        <v>358</v>
      </c>
      <c r="I397" s="4">
        <v>629</v>
      </c>
      <c r="J397" s="5">
        <v>0</v>
      </c>
      <c r="K397" s="6">
        <v>503.311242</v>
      </c>
      <c r="L397" s="6">
        <v>505.604801</v>
      </c>
      <c r="M397" s="6">
        <v>508.8682405</v>
      </c>
      <c r="N397" s="6">
        <v>60484.417963</v>
      </c>
      <c r="O397" s="6">
        <v>60486.87067</v>
      </c>
      <c r="P397" s="6">
        <v>60489.6818831</v>
      </c>
      <c r="Q397" s="6">
        <v>20</v>
      </c>
      <c r="R397" s="6">
        <v>21</v>
      </c>
      <c r="S397" s="6">
        <v>21</v>
      </c>
      <c r="T397" s="6">
        <v>503.7173501374817</v>
      </c>
      <c r="U397" s="6">
        <v>60484.731022490625</v>
      </c>
      <c r="V397" s="6">
        <v>60526.65268208977</v>
      </c>
      <c r="W397" s="4">
        <v>0</v>
      </c>
      <c r="X397" s="4">
        <v>0</v>
      </c>
      <c r="Y397" s="4">
        <v>0</v>
      </c>
      <c r="Z397" s="4" t="s">
        <v>937</v>
      </c>
      <c r="AA397" s="4" t="s">
        <v>938</v>
      </c>
    </row>
    <row r="398" ht="30" customHeight="1" spans="1:27" x14ac:dyDescent="0.25">
      <c r="A398" s="4" t="s">
        <v>146</v>
      </c>
      <c r="B398" s="4" t="s">
        <v>108</v>
      </c>
      <c r="C398" s="4">
        <v>1000</v>
      </c>
      <c r="D398" s="4" t="s">
        <v>109</v>
      </c>
      <c r="E398" s="4">
        <v>12</v>
      </c>
      <c r="F398" s="4">
        <v>62</v>
      </c>
      <c r="G398" s="4">
        <v>691</v>
      </c>
      <c r="H398" s="4">
        <v>350</v>
      </c>
      <c r="I398" s="4">
        <v>629</v>
      </c>
      <c r="J398" s="5">
        <v>0</v>
      </c>
      <c r="K398" s="6">
        <v>503.316921</v>
      </c>
      <c r="L398" s="6">
        <v>505.60828</v>
      </c>
      <c r="M398" s="6">
        <v>510.2624088</v>
      </c>
      <c r="N398" s="6">
        <v>60484.412309</v>
      </c>
      <c r="O398" s="6">
        <v>60486.787604</v>
      </c>
      <c r="P398" s="6">
        <v>60490.447817</v>
      </c>
      <c r="Q398" s="6">
        <v>20</v>
      </c>
      <c r="R398" s="6">
        <v>21</v>
      </c>
      <c r="S398" s="6">
        <v>21</v>
      </c>
      <c r="T398" s="6">
        <v>503.6949763154851</v>
      </c>
      <c r="U398" s="6">
        <v>60484.7209894833</v>
      </c>
      <c r="V398" s="6">
        <v>60525.08681795799</v>
      </c>
      <c r="W398" s="4">
        <v>0</v>
      </c>
      <c r="X398" s="4">
        <v>0</v>
      </c>
      <c r="Y398" s="4">
        <v>0</v>
      </c>
      <c r="Z398" s="4" t="s">
        <v>939</v>
      </c>
      <c r="AA398" s="4" t="s">
        <v>940</v>
      </c>
    </row>
    <row r="399" ht="30" customHeight="1" spans="1:27" x14ac:dyDescent="0.25">
      <c r="A399" s="4" t="s">
        <v>146</v>
      </c>
      <c r="B399" s="4" t="s">
        <v>108</v>
      </c>
      <c r="C399" s="4">
        <v>1000</v>
      </c>
      <c r="D399" s="4" t="s">
        <v>109</v>
      </c>
      <c r="E399" s="4">
        <v>13</v>
      </c>
      <c r="F399" s="4">
        <v>62</v>
      </c>
      <c r="G399" s="4">
        <v>691</v>
      </c>
      <c r="H399" s="4">
        <v>358</v>
      </c>
      <c r="I399" s="4">
        <v>629</v>
      </c>
      <c r="J399" s="5">
        <v>0</v>
      </c>
      <c r="K399" s="6">
        <v>503.416723</v>
      </c>
      <c r="L399" s="6">
        <v>505.618642</v>
      </c>
      <c r="M399" s="6">
        <v>510.01828770000003</v>
      </c>
      <c r="N399" s="6">
        <v>60484.452276</v>
      </c>
      <c r="O399" s="6">
        <v>60486.680207</v>
      </c>
      <c r="P399" s="6">
        <v>60489.243812199995</v>
      </c>
      <c r="Q399" s="6">
        <v>20</v>
      </c>
      <c r="R399" s="6">
        <v>21</v>
      </c>
      <c r="S399" s="6">
        <v>21</v>
      </c>
      <c r="T399" s="6">
        <v>503.80616179739445</v>
      </c>
      <c r="U399" s="6">
        <v>60484.694968694675</v>
      </c>
      <c r="V399" s="6">
        <v>60525.671085554284</v>
      </c>
      <c r="W399" s="4">
        <v>0</v>
      </c>
      <c r="X399" s="4">
        <v>0</v>
      </c>
      <c r="Y399" s="4">
        <v>0</v>
      </c>
      <c r="Z399" s="4" t="s">
        <v>941</v>
      </c>
      <c r="AA399" s="4" t="s">
        <v>942</v>
      </c>
    </row>
    <row r="400" ht="30" customHeight="1" spans="1:27" x14ac:dyDescent="0.25">
      <c r="A400" s="4" t="s">
        <v>146</v>
      </c>
      <c r="B400" s="4" t="s">
        <v>108</v>
      </c>
      <c r="C400" s="4">
        <v>1000</v>
      </c>
      <c r="D400" s="4" t="s">
        <v>109</v>
      </c>
      <c r="E400" s="4">
        <v>14</v>
      </c>
      <c r="F400" s="4">
        <v>62</v>
      </c>
      <c r="G400" s="4">
        <v>691</v>
      </c>
      <c r="H400" s="4">
        <v>357</v>
      </c>
      <c r="I400" s="4">
        <v>630</v>
      </c>
      <c r="J400" s="5">
        <v>0</v>
      </c>
      <c r="K400" s="6">
        <v>503.457857</v>
      </c>
      <c r="L400" s="6">
        <v>505.685311</v>
      </c>
      <c r="M400" s="6">
        <v>511.3406</v>
      </c>
      <c r="N400" s="6">
        <v>60484.390858</v>
      </c>
      <c r="O400" s="6">
        <v>60486.808688</v>
      </c>
      <c r="P400" s="6">
        <v>60493.32876510001</v>
      </c>
      <c r="Q400" s="6">
        <v>20</v>
      </c>
      <c r="R400" s="6">
        <v>21</v>
      </c>
      <c r="S400" s="6">
        <v>21</v>
      </c>
      <c r="T400" s="6">
        <v>503.91282901736605</v>
      </c>
      <c r="U400" s="6">
        <v>60484.84794997542</v>
      </c>
      <c r="V400" s="6">
        <v>60525.93869172793</v>
      </c>
      <c r="W400" s="4">
        <v>0</v>
      </c>
      <c r="X400" s="4">
        <v>0</v>
      </c>
      <c r="Y400" s="4">
        <v>0</v>
      </c>
      <c r="Z400" s="4" t="s">
        <v>943</v>
      </c>
      <c r="AA400" s="4" t="s">
        <v>944</v>
      </c>
    </row>
    <row r="401" ht="30" customHeight="1" spans="1:27" x14ac:dyDescent="0.25">
      <c r="A401" s="4" t="s">
        <v>146</v>
      </c>
      <c r="B401" s="4" t="s">
        <v>108</v>
      </c>
      <c r="C401" s="4">
        <v>1000</v>
      </c>
      <c r="D401" s="4" t="s">
        <v>109</v>
      </c>
      <c r="E401" s="4">
        <v>15</v>
      </c>
      <c r="F401" s="4">
        <v>62</v>
      </c>
      <c r="G401" s="4">
        <v>691</v>
      </c>
      <c r="H401" s="4">
        <v>347</v>
      </c>
      <c r="I401" s="4">
        <v>629</v>
      </c>
      <c r="J401" s="5">
        <v>0</v>
      </c>
      <c r="K401" s="6">
        <v>503.489868</v>
      </c>
      <c r="L401" s="6">
        <v>505.838052</v>
      </c>
      <c r="M401" s="6">
        <v>509.45088250000003</v>
      </c>
      <c r="N401" s="6">
        <v>60484.402268</v>
      </c>
      <c r="O401" s="6">
        <v>60486.677967</v>
      </c>
      <c r="P401" s="6">
        <v>60489.5856069</v>
      </c>
      <c r="Q401" s="6">
        <v>20</v>
      </c>
      <c r="R401" s="6">
        <v>21</v>
      </c>
      <c r="S401" s="6">
        <v>21</v>
      </c>
      <c r="T401" s="6">
        <v>503.85050646599166</v>
      </c>
      <c r="U401" s="6">
        <v>60484.70755379303</v>
      </c>
      <c r="V401" s="6">
        <v>60525.19390554408</v>
      </c>
      <c r="W401" s="4">
        <v>0</v>
      </c>
      <c r="X401" s="4">
        <v>0</v>
      </c>
      <c r="Y401" s="4">
        <v>0</v>
      </c>
      <c r="Z401" s="4" t="s">
        <v>945</v>
      </c>
      <c r="AA401" s="4" t="s">
        <v>946</v>
      </c>
    </row>
    <row r="402" ht="30" customHeight="1" spans="1:27" x14ac:dyDescent="0.25">
      <c r="A402" s="4" t="s">
        <v>146</v>
      </c>
      <c r="B402" s="4" t="s">
        <v>108</v>
      </c>
      <c r="C402" s="4">
        <v>2000</v>
      </c>
      <c r="D402" s="4" t="s">
        <v>109</v>
      </c>
      <c r="E402" s="4">
        <v>0</v>
      </c>
      <c r="F402" s="4">
        <v>125</v>
      </c>
      <c r="G402" s="4">
        <v>1392</v>
      </c>
      <c r="H402" s="4">
        <v>734</v>
      </c>
      <c r="I402" s="4">
        <v>1268</v>
      </c>
      <c r="J402" s="5">
        <v>0</v>
      </c>
      <c r="K402" s="6">
        <v>502.80474300000003</v>
      </c>
      <c r="L402" s="6">
        <v>504.2032947</v>
      </c>
      <c r="M402" s="6">
        <v>507.21151616000003</v>
      </c>
      <c r="N402" s="6">
        <v>60484.1043085</v>
      </c>
      <c r="O402" s="6">
        <v>60485.7372874</v>
      </c>
      <c r="P402" s="6">
        <v>60488.00270064</v>
      </c>
      <c r="Q402" s="6">
        <v>20</v>
      </c>
      <c r="R402" s="6">
        <v>21</v>
      </c>
      <c r="S402" s="6">
        <v>21</v>
      </c>
      <c r="T402" s="6">
        <v>502.968298079022</v>
      </c>
      <c r="U402" s="6">
        <v>60484.28648902507</v>
      </c>
      <c r="V402" s="6">
        <v>60527.25908594185</v>
      </c>
      <c r="W402" s="4">
        <v>0</v>
      </c>
      <c r="X402" s="4">
        <v>0</v>
      </c>
      <c r="Y402" s="4">
        <v>0</v>
      </c>
      <c r="Z402" s="4" t="s">
        <v>947</v>
      </c>
      <c r="AA402" s="4" t="s">
        <v>948</v>
      </c>
    </row>
    <row r="403" ht="30" customHeight="1" spans="1:27" x14ac:dyDescent="0.25">
      <c r="A403" s="4" t="s">
        <v>146</v>
      </c>
      <c r="B403" s="4" t="s">
        <v>108</v>
      </c>
      <c r="C403" s="4">
        <v>2000</v>
      </c>
      <c r="D403" s="4" t="s">
        <v>109</v>
      </c>
      <c r="E403" s="4">
        <v>1</v>
      </c>
      <c r="F403" s="4">
        <v>125</v>
      </c>
      <c r="G403" s="4">
        <v>1393</v>
      </c>
      <c r="H403" s="4">
        <v>715</v>
      </c>
      <c r="I403" s="4">
        <v>1268</v>
      </c>
      <c r="J403" s="5">
        <v>0</v>
      </c>
      <c r="K403" s="6">
        <v>502.795883</v>
      </c>
      <c r="L403" s="6">
        <v>504.00366679999996</v>
      </c>
      <c r="M403" s="6">
        <v>506.96476136</v>
      </c>
      <c r="N403" s="6">
        <v>60484.061607</v>
      </c>
      <c r="O403" s="6">
        <v>60485.722393</v>
      </c>
      <c r="P403" s="6">
        <v>60488.08999296</v>
      </c>
      <c r="Q403" s="6">
        <v>20</v>
      </c>
      <c r="R403" s="6">
        <v>21</v>
      </c>
      <c r="S403" s="6">
        <v>21</v>
      </c>
      <c r="T403" s="6">
        <v>502.92890484924584</v>
      </c>
      <c r="U403" s="6">
        <v>60484.20869447887</v>
      </c>
      <c r="V403" s="6">
        <v>60526.643502564904</v>
      </c>
      <c r="W403" s="4">
        <v>0</v>
      </c>
      <c r="X403" s="4">
        <v>0</v>
      </c>
      <c r="Y403" s="4">
        <v>0</v>
      </c>
      <c r="Z403" s="4" t="s">
        <v>949</v>
      </c>
      <c r="AA403" s="4" t="s">
        <v>950</v>
      </c>
    </row>
    <row r="404" ht="30" customHeight="1" spans="1:27" x14ac:dyDescent="0.25">
      <c r="A404" s="4" t="s">
        <v>146</v>
      </c>
      <c r="B404" s="4" t="s">
        <v>108</v>
      </c>
      <c r="C404" s="4">
        <v>2000</v>
      </c>
      <c r="D404" s="4" t="s">
        <v>109</v>
      </c>
      <c r="E404" s="4">
        <v>2</v>
      </c>
      <c r="F404" s="4">
        <v>125</v>
      </c>
      <c r="G404" s="4">
        <v>1392</v>
      </c>
      <c r="H404" s="4">
        <v>682</v>
      </c>
      <c r="I404" s="4">
        <v>1267</v>
      </c>
      <c r="J404" s="5">
        <v>0</v>
      </c>
      <c r="K404" s="6">
        <v>502.739017</v>
      </c>
      <c r="L404" s="6">
        <v>504.15168470000003</v>
      </c>
      <c r="M404" s="6">
        <v>508.94961894</v>
      </c>
      <c r="N404" s="6">
        <v>60484.0573015</v>
      </c>
      <c r="O404" s="6">
        <v>60485.7751569</v>
      </c>
      <c r="P404" s="6">
        <v>60488.28701565</v>
      </c>
      <c r="Q404" s="6">
        <v>20</v>
      </c>
      <c r="R404" s="6">
        <v>21</v>
      </c>
      <c r="S404" s="6">
        <v>21</v>
      </c>
      <c r="T404" s="6">
        <v>502.9547440007181</v>
      </c>
      <c r="U404" s="6">
        <v>60484.252184744364</v>
      </c>
      <c r="V404" s="6">
        <v>60524.62927348273</v>
      </c>
      <c r="W404" s="4">
        <v>0</v>
      </c>
      <c r="X404" s="4">
        <v>0</v>
      </c>
      <c r="Y404" s="4">
        <v>0</v>
      </c>
      <c r="Z404" s="4" t="s">
        <v>951</v>
      </c>
      <c r="AA404" s="4" t="s">
        <v>952</v>
      </c>
    </row>
    <row r="405" ht="30" customHeight="1" spans="1:27" x14ac:dyDescent="0.25">
      <c r="A405" s="4" t="s">
        <v>146</v>
      </c>
      <c r="B405" s="4" t="s">
        <v>108</v>
      </c>
      <c r="C405" s="4">
        <v>2000</v>
      </c>
      <c r="D405" s="4" t="s">
        <v>109</v>
      </c>
      <c r="E405" s="4">
        <v>3</v>
      </c>
      <c r="F405" s="4">
        <v>125</v>
      </c>
      <c r="G405" s="4">
        <v>1393</v>
      </c>
      <c r="H405" s="4">
        <v>713</v>
      </c>
      <c r="I405" s="4">
        <v>1268</v>
      </c>
      <c r="J405" s="5">
        <v>0</v>
      </c>
      <c r="K405" s="6">
        <v>502.701598</v>
      </c>
      <c r="L405" s="6">
        <v>503.8737654</v>
      </c>
      <c r="M405" s="6">
        <v>506.54722067999995</v>
      </c>
      <c r="N405" s="6">
        <v>60484.021398</v>
      </c>
      <c r="O405" s="6">
        <v>60485.6693256</v>
      </c>
      <c r="P405" s="6">
        <v>60487.78496172</v>
      </c>
      <c r="Q405" s="6">
        <v>20</v>
      </c>
      <c r="R405" s="6">
        <v>21</v>
      </c>
      <c r="S405" s="6">
        <v>21</v>
      </c>
      <c r="T405" s="6">
        <v>502.82302081981385</v>
      </c>
      <c r="U405" s="6">
        <v>60484.18394846519</v>
      </c>
      <c r="V405" s="6">
        <v>60526.312132949686</v>
      </c>
      <c r="W405" s="4">
        <v>0</v>
      </c>
      <c r="X405" s="4">
        <v>0</v>
      </c>
      <c r="Y405" s="4">
        <v>0</v>
      </c>
      <c r="Z405" s="4" t="s">
        <v>953</v>
      </c>
      <c r="AA405" s="4" t="s">
        <v>954</v>
      </c>
    </row>
    <row r="406" ht="30" customHeight="1" spans="1:27" x14ac:dyDescent="0.25">
      <c r="A406" s="4" t="s">
        <v>146</v>
      </c>
      <c r="B406" s="4" t="s">
        <v>108</v>
      </c>
      <c r="C406" s="4">
        <v>2000</v>
      </c>
      <c r="D406" s="4" t="s">
        <v>109</v>
      </c>
      <c r="E406" s="4">
        <v>4</v>
      </c>
      <c r="F406" s="4">
        <v>125</v>
      </c>
      <c r="G406" s="4">
        <v>1393</v>
      </c>
      <c r="H406" s="4">
        <v>667</v>
      </c>
      <c r="I406" s="4">
        <v>1268</v>
      </c>
      <c r="J406" s="5">
        <v>0</v>
      </c>
      <c r="K406" s="6">
        <v>502.720089</v>
      </c>
      <c r="L406" s="6">
        <v>503.9705356</v>
      </c>
      <c r="M406" s="6">
        <v>508.32983607999995</v>
      </c>
      <c r="N406" s="6">
        <v>60484.02267</v>
      </c>
      <c r="O406" s="6">
        <v>60485.610432199996</v>
      </c>
      <c r="P406" s="6">
        <v>60487.98775952</v>
      </c>
      <c r="Q406" s="6">
        <v>20</v>
      </c>
      <c r="R406" s="6">
        <v>21</v>
      </c>
      <c r="S406" s="6">
        <v>21</v>
      </c>
      <c r="T406" s="6">
        <v>502.8718166424983</v>
      </c>
      <c r="U406" s="6">
        <v>60484.178826050884</v>
      </c>
      <c r="V406" s="6">
        <v>60523.57573277807</v>
      </c>
      <c r="W406" s="4">
        <v>0</v>
      </c>
      <c r="X406" s="4">
        <v>0</v>
      </c>
      <c r="Y406" s="4">
        <v>0</v>
      </c>
      <c r="Z406" s="4" t="s">
        <v>955</v>
      </c>
      <c r="AA406" s="4" t="s">
        <v>956</v>
      </c>
    </row>
    <row r="407" ht="30" customHeight="1" spans="1:27" x14ac:dyDescent="0.25">
      <c r="A407" s="4" t="s">
        <v>146</v>
      </c>
      <c r="B407" s="4" t="s">
        <v>108</v>
      </c>
      <c r="C407" s="4">
        <v>2000</v>
      </c>
      <c r="D407" s="4" t="s">
        <v>109</v>
      </c>
      <c r="E407" s="4">
        <v>5</v>
      </c>
      <c r="F407" s="4">
        <v>125</v>
      </c>
      <c r="G407" s="4">
        <v>1393</v>
      </c>
      <c r="H407" s="4">
        <v>690</v>
      </c>
      <c r="I407" s="4">
        <v>1268</v>
      </c>
      <c r="J407" s="5">
        <v>0</v>
      </c>
      <c r="K407" s="6">
        <v>502.741166</v>
      </c>
      <c r="L407" s="6">
        <v>504.0322516</v>
      </c>
      <c r="M407" s="6">
        <v>507.4964082</v>
      </c>
      <c r="N407" s="6">
        <v>60484.095278</v>
      </c>
      <c r="O407" s="6">
        <v>60485.8898048</v>
      </c>
      <c r="P407" s="6">
        <v>60489.95130996</v>
      </c>
      <c r="Q407" s="6">
        <v>20</v>
      </c>
      <c r="R407" s="6">
        <v>21</v>
      </c>
      <c r="S407" s="6">
        <v>21</v>
      </c>
      <c r="T407" s="6">
        <v>502.92522132663385</v>
      </c>
      <c r="U407" s="6">
        <v>60484.32802693113</v>
      </c>
      <c r="V407" s="6">
        <v>60525.26021182847</v>
      </c>
      <c r="W407" s="4">
        <v>0</v>
      </c>
      <c r="X407" s="4">
        <v>0</v>
      </c>
      <c r="Y407" s="4">
        <v>0</v>
      </c>
      <c r="Z407" s="4" t="s">
        <v>957</v>
      </c>
      <c r="AA407" s="4" t="s">
        <v>958</v>
      </c>
    </row>
    <row r="408" ht="30" customHeight="1" spans="1:27" x14ac:dyDescent="0.25">
      <c r="A408" s="4" t="s">
        <v>146</v>
      </c>
      <c r="B408" s="4" t="s">
        <v>108</v>
      </c>
      <c r="C408" s="4">
        <v>2000</v>
      </c>
      <c r="D408" s="4" t="s">
        <v>109</v>
      </c>
      <c r="E408" s="4">
        <v>6</v>
      </c>
      <c r="F408" s="4">
        <v>125</v>
      </c>
      <c r="G408" s="4">
        <v>1392</v>
      </c>
      <c r="H408" s="4">
        <v>705</v>
      </c>
      <c r="I408" s="4">
        <v>1268</v>
      </c>
      <c r="J408" s="5">
        <v>0</v>
      </c>
      <c r="K408" s="6">
        <v>502.6769795</v>
      </c>
      <c r="L408" s="6">
        <v>503.9292684</v>
      </c>
      <c r="M408" s="6">
        <v>507.26281128</v>
      </c>
      <c r="N408" s="6">
        <v>60484.0759445</v>
      </c>
      <c r="O408" s="6">
        <v>60485.6228517</v>
      </c>
      <c r="P408" s="6">
        <v>60488.206298699995</v>
      </c>
      <c r="Q408" s="6">
        <v>20</v>
      </c>
      <c r="R408" s="6">
        <v>21</v>
      </c>
      <c r="S408" s="6">
        <v>21</v>
      </c>
      <c r="T408" s="6">
        <v>502.8410340445405</v>
      </c>
      <c r="U408" s="6">
        <v>60484.19175723271</v>
      </c>
      <c r="V408" s="6">
        <v>60525.67167806832</v>
      </c>
      <c r="W408" s="4">
        <v>0</v>
      </c>
      <c r="X408" s="4">
        <v>0</v>
      </c>
      <c r="Y408" s="4">
        <v>0</v>
      </c>
      <c r="Z408" s="4" t="s">
        <v>959</v>
      </c>
      <c r="AA408" s="4" t="s">
        <v>960</v>
      </c>
    </row>
    <row r="409" ht="30" customHeight="1" spans="1:27" x14ac:dyDescent="0.25">
      <c r="A409" s="4" t="s">
        <v>146</v>
      </c>
      <c r="B409" s="4" t="s">
        <v>108</v>
      </c>
      <c r="C409" s="4">
        <v>2000</v>
      </c>
      <c r="D409" s="4" t="s">
        <v>109</v>
      </c>
      <c r="E409" s="4">
        <v>7</v>
      </c>
      <c r="F409" s="4">
        <v>125</v>
      </c>
      <c r="G409" s="4">
        <v>1393</v>
      </c>
      <c r="H409" s="4">
        <v>661</v>
      </c>
      <c r="I409" s="4">
        <v>1268</v>
      </c>
      <c r="J409" s="5">
        <v>0</v>
      </c>
      <c r="K409" s="6">
        <v>502.781838</v>
      </c>
      <c r="L409" s="6">
        <v>504.1007206</v>
      </c>
      <c r="M409" s="6">
        <v>507.05710164</v>
      </c>
      <c r="N409" s="6">
        <v>60483.976101</v>
      </c>
      <c r="O409" s="6">
        <v>60485.608215600005</v>
      </c>
      <c r="P409" s="6">
        <v>60487.80168784</v>
      </c>
      <c r="Q409" s="6">
        <v>20</v>
      </c>
      <c r="R409" s="6">
        <v>21</v>
      </c>
      <c r="S409" s="6">
        <v>21</v>
      </c>
      <c r="T409" s="6">
        <v>502.9640902936112</v>
      </c>
      <c r="U409" s="6">
        <v>60484.17547063115</v>
      </c>
      <c r="V409" s="6">
        <v>60523.66227068557</v>
      </c>
      <c r="W409" s="4">
        <v>0</v>
      </c>
      <c r="X409" s="4">
        <v>0</v>
      </c>
      <c r="Y409" s="4">
        <v>0</v>
      </c>
      <c r="Z409" s="4" t="s">
        <v>961</v>
      </c>
      <c r="AA409" s="4" t="s">
        <v>962</v>
      </c>
    </row>
    <row r="410" ht="30" customHeight="1" spans="1:27" x14ac:dyDescent="0.25">
      <c r="A410" s="4" t="s">
        <v>146</v>
      </c>
      <c r="B410" s="4" t="s">
        <v>108</v>
      </c>
      <c r="C410" s="4">
        <v>2000</v>
      </c>
      <c r="D410" s="4" t="s">
        <v>109</v>
      </c>
      <c r="E410" s="4">
        <v>8</v>
      </c>
      <c r="F410" s="4">
        <v>125</v>
      </c>
      <c r="G410" s="4">
        <v>1392</v>
      </c>
      <c r="H410" s="4">
        <v>713</v>
      </c>
      <c r="I410" s="4">
        <v>1268</v>
      </c>
      <c r="J410" s="5">
        <v>0</v>
      </c>
      <c r="K410" s="6">
        <v>502.778594</v>
      </c>
      <c r="L410" s="6">
        <v>503.98387169999995</v>
      </c>
      <c r="M410" s="6">
        <v>507.86259848000003</v>
      </c>
      <c r="N410" s="6">
        <v>60484.0064865</v>
      </c>
      <c r="O410" s="6">
        <v>60485.7580746</v>
      </c>
      <c r="P410" s="6">
        <v>60488.68743898</v>
      </c>
      <c r="Q410" s="6">
        <v>20</v>
      </c>
      <c r="R410" s="6">
        <v>21</v>
      </c>
      <c r="S410" s="6">
        <v>21</v>
      </c>
      <c r="T410" s="6">
        <v>502.9306883397986</v>
      </c>
      <c r="U410" s="6">
        <v>60484.231274242324</v>
      </c>
      <c r="V410" s="6">
        <v>60526.61671343242</v>
      </c>
      <c r="W410" s="4">
        <v>0</v>
      </c>
      <c r="X410" s="4">
        <v>0</v>
      </c>
      <c r="Y410" s="4">
        <v>0</v>
      </c>
      <c r="Z410" s="4" t="s">
        <v>963</v>
      </c>
      <c r="AA410" s="4" t="s">
        <v>964</v>
      </c>
    </row>
    <row r="411" ht="30" customHeight="1" spans="1:27" x14ac:dyDescent="0.25">
      <c r="A411" s="4" t="s">
        <v>146</v>
      </c>
      <c r="B411" s="4" t="s">
        <v>108</v>
      </c>
      <c r="C411" s="4">
        <v>2000</v>
      </c>
      <c r="D411" s="4" t="s">
        <v>109</v>
      </c>
      <c r="E411" s="4">
        <v>9</v>
      </c>
      <c r="F411" s="4">
        <v>125</v>
      </c>
      <c r="G411" s="4">
        <v>1394</v>
      </c>
      <c r="H411" s="4">
        <v>716</v>
      </c>
      <c r="I411" s="4">
        <v>1269</v>
      </c>
      <c r="J411" s="5">
        <v>0</v>
      </c>
      <c r="K411" s="6">
        <v>502.77398700000003</v>
      </c>
      <c r="L411" s="6">
        <v>504.0920292</v>
      </c>
      <c r="M411" s="6">
        <v>506.9386512</v>
      </c>
      <c r="N411" s="6">
        <v>60484.0126945</v>
      </c>
      <c r="O411" s="6">
        <v>60485.613370600004</v>
      </c>
      <c r="P411" s="6">
        <v>60487.817676709994</v>
      </c>
      <c r="Q411" s="6">
        <v>20</v>
      </c>
      <c r="R411" s="6">
        <v>21</v>
      </c>
      <c r="S411" s="6">
        <v>21</v>
      </c>
      <c r="T411" s="6">
        <v>502.9302246886659</v>
      </c>
      <c r="U411" s="6">
        <v>60484.197089691545</v>
      </c>
      <c r="V411" s="6">
        <v>60526.68725820942</v>
      </c>
      <c r="W411" s="4">
        <v>0</v>
      </c>
      <c r="X411" s="4">
        <v>0</v>
      </c>
      <c r="Y411" s="4">
        <v>0</v>
      </c>
      <c r="Z411" s="4" t="s">
        <v>965</v>
      </c>
      <c r="AA411" s="4" t="s">
        <v>966</v>
      </c>
    </row>
    <row r="412" ht="30" customHeight="1" spans="1:27" x14ac:dyDescent="0.25">
      <c r="A412" s="4" t="s">
        <v>146</v>
      </c>
      <c r="B412" s="4" t="s">
        <v>108</v>
      </c>
      <c r="C412" s="4">
        <v>2000</v>
      </c>
      <c r="D412" s="4" t="s">
        <v>109</v>
      </c>
      <c r="E412" s="4">
        <v>10</v>
      </c>
      <c r="F412" s="4">
        <v>125</v>
      </c>
      <c r="G412" s="4">
        <v>1393</v>
      </c>
      <c r="H412" s="4">
        <v>689</v>
      </c>
      <c r="I412" s="4">
        <v>1268</v>
      </c>
      <c r="J412" s="5">
        <v>0</v>
      </c>
      <c r="K412" s="6">
        <v>502.729413</v>
      </c>
      <c r="L412" s="6">
        <v>503.9645086</v>
      </c>
      <c r="M412" s="6">
        <v>508.59190732</v>
      </c>
      <c r="N412" s="6">
        <v>60484.009745</v>
      </c>
      <c r="O412" s="6">
        <v>60485.5070368</v>
      </c>
      <c r="P412" s="6">
        <v>60488.88370152</v>
      </c>
      <c r="Q412" s="6">
        <v>20</v>
      </c>
      <c r="R412" s="6">
        <v>21</v>
      </c>
      <c r="S412" s="6">
        <v>21</v>
      </c>
      <c r="T412" s="6">
        <v>502.90720269418546</v>
      </c>
      <c r="U412" s="6">
        <v>60484.19497890463</v>
      </c>
      <c r="V412" s="6">
        <v>60525.38678043069</v>
      </c>
      <c r="W412" s="4">
        <v>0</v>
      </c>
      <c r="X412" s="4">
        <v>0</v>
      </c>
      <c r="Y412" s="4">
        <v>0</v>
      </c>
      <c r="Z412" s="4" t="s">
        <v>967</v>
      </c>
      <c r="AA412" s="4" t="s">
        <v>968</v>
      </c>
    </row>
    <row r="413" ht="30" customHeight="1" spans="1:27" x14ac:dyDescent="0.25">
      <c r="A413" s="4" t="s">
        <v>146</v>
      </c>
      <c r="B413" s="4" t="s">
        <v>108</v>
      </c>
      <c r="C413" s="4">
        <v>2000</v>
      </c>
      <c r="D413" s="4" t="s">
        <v>109</v>
      </c>
      <c r="E413" s="4">
        <v>11</v>
      </c>
      <c r="F413" s="4">
        <v>125</v>
      </c>
      <c r="G413" s="4">
        <v>1392</v>
      </c>
      <c r="H413" s="4">
        <v>698</v>
      </c>
      <c r="I413" s="4">
        <v>1269</v>
      </c>
      <c r="J413" s="5">
        <v>0</v>
      </c>
      <c r="K413" s="6">
        <v>502.7562025</v>
      </c>
      <c r="L413" s="6">
        <v>503.9764039</v>
      </c>
      <c r="M413" s="6">
        <v>505.96149826</v>
      </c>
      <c r="N413" s="6">
        <v>60484.034731499996</v>
      </c>
      <c r="O413" s="6">
        <v>60485.7686319</v>
      </c>
      <c r="P413" s="6">
        <v>60488.32179216</v>
      </c>
      <c r="Q413" s="6">
        <v>20</v>
      </c>
      <c r="R413" s="6">
        <v>21</v>
      </c>
      <c r="S413" s="6">
        <v>21</v>
      </c>
      <c r="T413" s="6">
        <v>502.8347521228455</v>
      </c>
      <c r="U413" s="6">
        <v>60484.19821380376</v>
      </c>
      <c r="V413" s="6">
        <v>60525.697554601305</v>
      </c>
      <c r="W413" s="4">
        <v>0</v>
      </c>
      <c r="X413" s="4">
        <v>0</v>
      </c>
      <c r="Y413" s="4">
        <v>0</v>
      </c>
      <c r="Z413" s="4" t="s">
        <v>969</v>
      </c>
      <c r="AA413" s="4" t="s">
        <v>970</v>
      </c>
    </row>
    <row r="414" ht="30" customHeight="1" spans="1:27" x14ac:dyDescent="0.25">
      <c r="A414" s="4" t="s">
        <v>146</v>
      </c>
      <c r="B414" s="4" t="s">
        <v>108</v>
      </c>
      <c r="C414" s="4">
        <v>2000</v>
      </c>
      <c r="D414" s="4" t="s">
        <v>109</v>
      </c>
      <c r="E414" s="4">
        <v>12</v>
      </c>
      <c r="F414" s="4">
        <v>125</v>
      </c>
      <c r="G414" s="4">
        <v>1392</v>
      </c>
      <c r="H414" s="4">
        <v>704</v>
      </c>
      <c r="I414" s="4">
        <v>1268</v>
      </c>
      <c r="J414" s="5">
        <v>0</v>
      </c>
      <c r="K414" s="6">
        <v>502.74076149999996</v>
      </c>
      <c r="L414" s="6">
        <v>504.03860249999997</v>
      </c>
      <c r="M414" s="6">
        <v>507.41418827999996</v>
      </c>
      <c r="N414" s="6">
        <v>60484.0145625</v>
      </c>
      <c r="O414" s="6">
        <v>60485.5923458</v>
      </c>
      <c r="P414" s="6">
        <v>60487.90807718</v>
      </c>
      <c r="Q414" s="6">
        <v>20</v>
      </c>
      <c r="R414" s="6">
        <v>21</v>
      </c>
      <c r="S414" s="6">
        <v>21</v>
      </c>
      <c r="T414" s="6">
        <v>502.87288990301755</v>
      </c>
      <c r="U414" s="6">
        <v>60484.16468250937</v>
      </c>
      <c r="V414" s="6">
        <v>60525.766182178115</v>
      </c>
      <c r="W414" s="4">
        <v>0</v>
      </c>
      <c r="X414" s="4">
        <v>0</v>
      </c>
      <c r="Y414" s="4">
        <v>0</v>
      </c>
      <c r="Z414" s="4" t="s">
        <v>971</v>
      </c>
      <c r="AA414" s="4" t="s">
        <v>972</v>
      </c>
    </row>
    <row r="415" ht="30" customHeight="1" spans="1:27" x14ac:dyDescent="0.25">
      <c r="A415" s="4" t="s">
        <v>146</v>
      </c>
      <c r="B415" s="4" t="s">
        <v>108</v>
      </c>
      <c r="C415" s="4">
        <v>2000</v>
      </c>
      <c r="D415" s="4" t="s">
        <v>109</v>
      </c>
      <c r="E415" s="4">
        <v>13</v>
      </c>
      <c r="F415" s="4">
        <v>125</v>
      </c>
      <c r="G415" s="4">
        <v>1394</v>
      </c>
      <c r="H415" s="4">
        <v>707</v>
      </c>
      <c r="I415" s="4">
        <v>1269</v>
      </c>
      <c r="J415" s="5">
        <v>0</v>
      </c>
      <c r="K415" s="6">
        <v>502.77729750000003</v>
      </c>
      <c r="L415" s="6">
        <v>503.99638269999997</v>
      </c>
      <c r="M415" s="6">
        <v>506.66461857999997</v>
      </c>
      <c r="N415" s="6">
        <v>60484.017472</v>
      </c>
      <c r="O415" s="6">
        <v>60485.6984139</v>
      </c>
      <c r="P415" s="6">
        <v>60487.756867150005</v>
      </c>
      <c r="Q415" s="6">
        <v>20</v>
      </c>
      <c r="R415" s="6">
        <v>21</v>
      </c>
      <c r="S415" s="6">
        <v>21</v>
      </c>
      <c r="T415" s="6">
        <v>502.917936692253</v>
      </c>
      <c r="U415" s="6">
        <v>60484.19120144696</v>
      </c>
      <c r="V415" s="6">
        <v>60525.49797368359</v>
      </c>
      <c r="W415" s="4">
        <v>0</v>
      </c>
      <c r="X415" s="4">
        <v>0</v>
      </c>
      <c r="Y415" s="4">
        <v>0</v>
      </c>
      <c r="Z415" s="4" t="s">
        <v>973</v>
      </c>
      <c r="AA415" s="4" t="s">
        <v>974</v>
      </c>
    </row>
    <row r="416" ht="30" customHeight="1" spans="1:27" x14ac:dyDescent="0.25">
      <c r="A416" s="4" t="s">
        <v>146</v>
      </c>
      <c r="B416" s="4" t="s">
        <v>108</v>
      </c>
      <c r="C416" s="4">
        <v>2000</v>
      </c>
      <c r="D416" s="4" t="s">
        <v>109</v>
      </c>
      <c r="E416" s="4">
        <v>14</v>
      </c>
      <c r="F416" s="4">
        <v>125</v>
      </c>
      <c r="G416" s="4">
        <v>1393</v>
      </c>
      <c r="H416" s="4">
        <v>696</v>
      </c>
      <c r="I416" s="4">
        <v>1268</v>
      </c>
      <c r="J416" s="5">
        <v>0</v>
      </c>
      <c r="K416" s="6">
        <v>502.751795</v>
      </c>
      <c r="L416" s="6">
        <v>504.09158659999997</v>
      </c>
      <c r="M416" s="6">
        <v>506.20980047999996</v>
      </c>
      <c r="N416" s="6">
        <v>60484.035291</v>
      </c>
      <c r="O416" s="6">
        <v>60485.619253799996</v>
      </c>
      <c r="P416" s="6">
        <v>60488.156785080006</v>
      </c>
      <c r="Q416" s="6">
        <v>20</v>
      </c>
      <c r="R416" s="6">
        <v>21</v>
      </c>
      <c r="S416" s="6">
        <v>21</v>
      </c>
      <c r="T416" s="6">
        <v>502.9552261040932</v>
      </c>
      <c r="U416" s="6">
        <v>60484.24217484273</v>
      </c>
      <c r="V416" s="6">
        <v>60525.39956177162</v>
      </c>
      <c r="W416" s="4">
        <v>0</v>
      </c>
      <c r="X416" s="4">
        <v>0</v>
      </c>
      <c r="Y416" s="4">
        <v>0</v>
      </c>
      <c r="Z416" s="4" t="s">
        <v>975</v>
      </c>
      <c r="AA416" s="4" t="s">
        <v>976</v>
      </c>
    </row>
    <row r="417" ht="30" customHeight="1" spans="1:27" x14ac:dyDescent="0.25">
      <c r="A417" s="4" t="s">
        <v>146</v>
      </c>
      <c r="B417" s="4" t="s">
        <v>108</v>
      </c>
      <c r="C417" s="4">
        <v>2000</v>
      </c>
      <c r="D417" s="4" t="s">
        <v>109</v>
      </c>
      <c r="E417" s="4">
        <v>15</v>
      </c>
      <c r="F417" s="4">
        <v>125</v>
      </c>
      <c r="G417" s="4">
        <v>1393</v>
      </c>
      <c r="H417" s="4">
        <v>707</v>
      </c>
      <c r="I417" s="4">
        <v>1269</v>
      </c>
      <c r="J417" s="5">
        <v>0</v>
      </c>
      <c r="K417" s="6">
        <v>502.756993</v>
      </c>
      <c r="L417" s="6">
        <v>504.02351</v>
      </c>
      <c r="M417" s="6">
        <v>506.42763228</v>
      </c>
      <c r="N417" s="6">
        <v>60484.058897</v>
      </c>
      <c r="O417" s="6">
        <v>60485.7588334</v>
      </c>
      <c r="P417" s="6">
        <v>60488.544933159996</v>
      </c>
      <c r="Q417" s="6">
        <v>20</v>
      </c>
      <c r="R417" s="6">
        <v>21</v>
      </c>
      <c r="S417" s="6">
        <v>21</v>
      </c>
      <c r="T417" s="6">
        <v>502.8844232017231</v>
      </c>
      <c r="U417" s="6">
        <v>60484.25153452841</v>
      </c>
      <c r="V417" s="6">
        <v>60526.06133997843</v>
      </c>
      <c r="W417" s="4">
        <v>0</v>
      </c>
      <c r="X417" s="4">
        <v>0</v>
      </c>
      <c r="Y417" s="4">
        <v>0</v>
      </c>
      <c r="Z417" s="4" t="s">
        <v>977</v>
      </c>
      <c r="AA417" s="4" t="s">
        <v>978</v>
      </c>
    </row>
    <row r="418" ht="30" customHeight="1" spans="1:27" x14ac:dyDescent="0.25">
      <c r="A418" s="4" t="s">
        <v>146</v>
      </c>
      <c r="B418" s="4" t="s">
        <v>108</v>
      </c>
      <c r="C418" s="4">
        <v>5000</v>
      </c>
      <c r="D418" s="4" t="s">
        <v>109</v>
      </c>
      <c r="E418" s="4">
        <v>0</v>
      </c>
      <c r="F418" s="4">
        <v>313</v>
      </c>
      <c r="G418" s="4">
        <v>3488</v>
      </c>
      <c r="H418" s="4">
        <v>1747</v>
      </c>
      <c r="I418" s="4">
        <v>3175</v>
      </c>
      <c r="J418" s="5">
        <v>0</v>
      </c>
      <c r="K418" s="6">
        <v>501.985508</v>
      </c>
      <c r="L418" s="6">
        <v>502.904132</v>
      </c>
      <c r="M418" s="6">
        <v>504.83454531</v>
      </c>
      <c r="N418" s="6">
        <v>60483.8565065</v>
      </c>
      <c r="O418" s="6">
        <v>60485.13386</v>
      </c>
      <c r="P418" s="6">
        <v>60486.94733057</v>
      </c>
      <c r="Q418" s="6">
        <v>20</v>
      </c>
      <c r="R418" s="6">
        <v>21</v>
      </c>
      <c r="S418" s="6">
        <v>21</v>
      </c>
      <c r="T418" s="6">
        <v>502.17149286668587</v>
      </c>
      <c r="U418" s="6">
        <v>60483.9504883325</v>
      </c>
      <c r="V418" s="6">
        <v>60526.52391514417</v>
      </c>
      <c r="W418" s="4">
        <v>0</v>
      </c>
      <c r="X418" s="4">
        <v>0</v>
      </c>
      <c r="Y418" s="4">
        <v>0</v>
      </c>
      <c r="Z418" s="4" t="s">
        <v>979</v>
      </c>
      <c r="AA418" s="4" t="s">
        <v>980</v>
      </c>
    </row>
    <row r="419" ht="30" customHeight="1" spans="1:27" x14ac:dyDescent="0.25">
      <c r="A419" s="4" t="s">
        <v>146</v>
      </c>
      <c r="B419" s="4" t="s">
        <v>108</v>
      </c>
      <c r="C419" s="4">
        <v>5000</v>
      </c>
      <c r="D419" s="4" t="s">
        <v>109</v>
      </c>
      <c r="E419" s="4">
        <v>1</v>
      </c>
      <c r="F419" s="4">
        <v>313</v>
      </c>
      <c r="G419" s="4">
        <v>3488</v>
      </c>
      <c r="H419" s="4">
        <v>1738</v>
      </c>
      <c r="I419" s="4">
        <v>3176</v>
      </c>
      <c r="J419" s="5">
        <v>0</v>
      </c>
      <c r="K419" s="6">
        <v>501.951572</v>
      </c>
      <c r="L419" s="6">
        <v>502.89266119999996</v>
      </c>
      <c r="M419" s="6">
        <v>505.25169203</v>
      </c>
      <c r="N419" s="6">
        <v>60483.7960845</v>
      </c>
      <c r="O419" s="6">
        <v>60484.9639381</v>
      </c>
      <c r="P419" s="6">
        <v>60487.070642030005</v>
      </c>
      <c r="Q419" s="6">
        <v>20</v>
      </c>
      <c r="R419" s="6">
        <v>21</v>
      </c>
      <c r="S419" s="6">
        <v>21</v>
      </c>
      <c r="T419" s="6">
        <v>502.26293527379545</v>
      </c>
      <c r="U419" s="6">
        <v>60484.02524321889</v>
      </c>
      <c r="V419" s="6">
        <v>60526.179617802445</v>
      </c>
      <c r="W419" s="4">
        <v>0</v>
      </c>
      <c r="X419" s="4">
        <v>0</v>
      </c>
      <c r="Y419" s="4">
        <v>0</v>
      </c>
      <c r="Z419" s="4" t="s">
        <v>981</v>
      </c>
      <c r="AA419" s="4" t="s">
        <v>982</v>
      </c>
    </row>
    <row r="420" ht="30" customHeight="1" spans="1:27" x14ac:dyDescent="0.25">
      <c r="A420" s="4" t="s">
        <v>146</v>
      </c>
      <c r="B420" s="4" t="s">
        <v>108</v>
      </c>
      <c r="C420" s="4">
        <v>5000</v>
      </c>
      <c r="D420" s="4" t="s">
        <v>109</v>
      </c>
      <c r="E420" s="4">
        <v>2</v>
      </c>
      <c r="F420" s="4">
        <v>313</v>
      </c>
      <c r="G420" s="4">
        <v>3488</v>
      </c>
      <c r="H420" s="4">
        <v>1768</v>
      </c>
      <c r="I420" s="4">
        <v>3175</v>
      </c>
      <c r="J420" s="5">
        <v>0</v>
      </c>
      <c r="K420" s="6">
        <v>501.94321</v>
      </c>
      <c r="L420" s="6">
        <v>502.8822297</v>
      </c>
      <c r="M420" s="6">
        <v>505.76071152000003</v>
      </c>
      <c r="N420" s="6">
        <v>60483.7769635</v>
      </c>
      <c r="O420" s="6">
        <v>60484.966045400004</v>
      </c>
      <c r="P420" s="6">
        <v>60486.74891716</v>
      </c>
      <c r="Q420" s="6">
        <v>20</v>
      </c>
      <c r="R420" s="6">
        <v>21</v>
      </c>
      <c r="S420" s="6">
        <v>21</v>
      </c>
      <c r="T420" s="6">
        <v>502.14344186123793</v>
      </c>
      <c r="U420" s="6">
        <v>60483.89186153015</v>
      </c>
      <c r="V420" s="6">
        <v>60526.19819544521</v>
      </c>
      <c r="W420" s="4">
        <v>0</v>
      </c>
      <c r="X420" s="4">
        <v>0</v>
      </c>
      <c r="Y420" s="4">
        <v>0</v>
      </c>
      <c r="Z420" s="4" t="s">
        <v>983</v>
      </c>
      <c r="AA420" s="4" t="s">
        <v>984</v>
      </c>
    </row>
    <row r="421" ht="30" customHeight="1" spans="1:27" x14ac:dyDescent="0.25">
      <c r="A421" s="4" t="s">
        <v>146</v>
      </c>
      <c r="B421" s="4" t="s">
        <v>108</v>
      </c>
      <c r="C421" s="4">
        <v>5000</v>
      </c>
      <c r="D421" s="4" t="s">
        <v>109</v>
      </c>
      <c r="E421" s="4">
        <v>3</v>
      </c>
      <c r="F421" s="4">
        <v>313</v>
      </c>
      <c r="G421" s="4">
        <v>3486</v>
      </c>
      <c r="H421" s="4">
        <v>1758</v>
      </c>
      <c r="I421" s="4">
        <v>3175</v>
      </c>
      <c r="J421" s="5">
        <v>0</v>
      </c>
      <c r="K421" s="6">
        <v>501.9636785</v>
      </c>
      <c r="L421" s="6">
        <v>502.882448</v>
      </c>
      <c r="M421" s="6">
        <v>505.33869865</v>
      </c>
      <c r="N421" s="6">
        <v>60483.821110000004</v>
      </c>
      <c r="O421" s="6">
        <v>60484.9883235</v>
      </c>
      <c r="P421" s="6">
        <v>60487.016962199996</v>
      </c>
      <c r="Q421" s="6">
        <v>20</v>
      </c>
      <c r="R421" s="6">
        <v>21</v>
      </c>
      <c r="S421" s="6">
        <v>21</v>
      </c>
      <c r="T421" s="6">
        <v>502.17656114371823</v>
      </c>
      <c r="U421" s="6">
        <v>60483.93752075423</v>
      </c>
      <c r="V421" s="6">
        <v>60526.547302146486</v>
      </c>
      <c r="W421" s="4">
        <v>0</v>
      </c>
      <c r="X421" s="4">
        <v>0</v>
      </c>
      <c r="Y421" s="4">
        <v>0</v>
      </c>
      <c r="Z421" s="4" t="s">
        <v>985</v>
      </c>
      <c r="AA421" s="4" t="s">
        <v>986</v>
      </c>
    </row>
    <row r="422" ht="30" customHeight="1" spans="1:27" x14ac:dyDescent="0.25">
      <c r="A422" s="4" t="s">
        <v>146</v>
      </c>
      <c r="B422" s="4" t="s">
        <v>108</v>
      </c>
      <c r="C422" s="4">
        <v>5000</v>
      </c>
      <c r="D422" s="4" t="s">
        <v>109</v>
      </c>
      <c r="E422" s="4">
        <v>4</v>
      </c>
      <c r="F422" s="4">
        <v>313</v>
      </c>
      <c r="G422" s="4">
        <v>3487</v>
      </c>
      <c r="H422" s="4">
        <v>1761</v>
      </c>
      <c r="I422" s="4">
        <v>3176</v>
      </c>
      <c r="J422" s="5">
        <v>0</v>
      </c>
      <c r="K422" s="6">
        <v>501.950875</v>
      </c>
      <c r="L422" s="6">
        <v>502.849715</v>
      </c>
      <c r="M422" s="6">
        <v>504.90488478</v>
      </c>
      <c r="N422" s="6">
        <v>60483.854028</v>
      </c>
      <c r="O422" s="6">
        <v>60485.0590152</v>
      </c>
      <c r="P422" s="6">
        <v>60487.07147568</v>
      </c>
      <c r="Q422" s="6">
        <v>20</v>
      </c>
      <c r="R422" s="6">
        <v>21</v>
      </c>
      <c r="S422" s="6">
        <v>21</v>
      </c>
      <c r="T422" s="6">
        <v>502.4298429090896</v>
      </c>
      <c r="U422" s="6">
        <v>60484.23382736186</v>
      </c>
      <c r="V422" s="6">
        <v>60526.937013950395</v>
      </c>
      <c r="W422" s="4">
        <v>0</v>
      </c>
      <c r="X422" s="4">
        <v>0</v>
      </c>
      <c r="Y422" s="4">
        <v>0</v>
      </c>
      <c r="Z422" s="4" t="s">
        <v>987</v>
      </c>
      <c r="AA422" s="4" t="s">
        <v>988</v>
      </c>
    </row>
    <row r="423" ht="30" customHeight="1" spans="1:27" x14ac:dyDescent="0.25">
      <c r="A423" s="4" t="s">
        <v>146</v>
      </c>
      <c r="B423" s="4" t="s">
        <v>108</v>
      </c>
      <c r="C423" s="4">
        <v>5000</v>
      </c>
      <c r="D423" s="4" t="s">
        <v>109</v>
      </c>
      <c r="E423" s="4">
        <v>5</v>
      </c>
      <c r="F423" s="4">
        <v>313</v>
      </c>
      <c r="G423" s="4">
        <v>3486</v>
      </c>
      <c r="H423" s="4">
        <v>1711</v>
      </c>
      <c r="I423" s="4">
        <v>3174</v>
      </c>
      <c r="J423" s="5">
        <v>0</v>
      </c>
      <c r="K423" s="6">
        <v>501.9377925</v>
      </c>
      <c r="L423" s="6">
        <v>502.911974</v>
      </c>
      <c r="M423" s="6">
        <v>505.47714264999996</v>
      </c>
      <c r="N423" s="6">
        <v>60483.750659</v>
      </c>
      <c r="O423" s="6">
        <v>60484.9712745</v>
      </c>
      <c r="P423" s="6">
        <v>60487.01283775</v>
      </c>
      <c r="Q423" s="6">
        <v>20</v>
      </c>
      <c r="R423" s="6">
        <v>21</v>
      </c>
      <c r="S423" s="6">
        <v>21</v>
      </c>
      <c r="T423" s="6">
        <v>502.3846485676981</v>
      </c>
      <c r="U423" s="6">
        <v>60484.118800571174</v>
      </c>
      <c r="V423" s="6">
        <v>60525.89622274067</v>
      </c>
      <c r="W423" s="4">
        <v>0</v>
      </c>
      <c r="X423" s="4">
        <v>0</v>
      </c>
      <c r="Y423" s="4">
        <v>0</v>
      </c>
      <c r="Z423" s="4" t="s">
        <v>989</v>
      </c>
      <c r="AA423" s="4" t="s">
        <v>990</v>
      </c>
    </row>
    <row r="424" ht="30" customHeight="1" spans="1:27" x14ac:dyDescent="0.25">
      <c r="A424" s="4" t="s">
        <v>146</v>
      </c>
      <c r="B424" s="4" t="s">
        <v>108</v>
      </c>
      <c r="C424" s="4">
        <v>5000</v>
      </c>
      <c r="D424" s="4" t="s">
        <v>109</v>
      </c>
      <c r="E424" s="4">
        <v>6</v>
      </c>
      <c r="F424" s="4">
        <v>313</v>
      </c>
      <c r="G424" s="4">
        <v>3489</v>
      </c>
      <c r="H424" s="4">
        <v>1675</v>
      </c>
      <c r="I424" s="4">
        <v>3176</v>
      </c>
      <c r="J424" s="5">
        <v>0</v>
      </c>
      <c r="K424" s="6">
        <v>501.938462</v>
      </c>
      <c r="L424" s="6">
        <v>502.812604</v>
      </c>
      <c r="M424" s="6">
        <v>505.36512504</v>
      </c>
      <c r="N424" s="6">
        <v>60483.776735</v>
      </c>
      <c r="O424" s="6">
        <v>60484.9883738</v>
      </c>
      <c r="P424" s="6">
        <v>60486.86892524</v>
      </c>
      <c r="Q424" s="6">
        <v>20</v>
      </c>
      <c r="R424" s="6">
        <v>21</v>
      </c>
      <c r="S424" s="6">
        <v>21</v>
      </c>
      <c r="T424" s="6">
        <v>502.3704332760109</v>
      </c>
      <c r="U424" s="6">
        <v>60484.13320790345</v>
      </c>
      <c r="V424" s="6">
        <v>60524.94238529267</v>
      </c>
      <c r="W424" s="4">
        <v>0</v>
      </c>
      <c r="X424" s="4">
        <v>0</v>
      </c>
      <c r="Y424" s="4">
        <v>0</v>
      </c>
      <c r="Z424" s="4" t="s">
        <v>991</v>
      </c>
      <c r="AA424" s="4" t="s">
        <v>992</v>
      </c>
    </row>
    <row r="425" ht="30" customHeight="1" spans="1:27" x14ac:dyDescent="0.25">
      <c r="A425" s="4" t="s">
        <v>146</v>
      </c>
      <c r="B425" s="4" t="s">
        <v>108</v>
      </c>
      <c r="C425" s="4">
        <v>5000</v>
      </c>
      <c r="D425" s="4" t="s">
        <v>109</v>
      </c>
      <c r="E425" s="4">
        <v>7</v>
      </c>
      <c r="F425" s="4">
        <v>313</v>
      </c>
      <c r="G425" s="4">
        <v>3487</v>
      </c>
      <c r="H425" s="4">
        <v>1727</v>
      </c>
      <c r="I425" s="4">
        <v>3174</v>
      </c>
      <c r="J425" s="5">
        <v>0</v>
      </c>
      <c r="K425" s="6">
        <v>501.949155</v>
      </c>
      <c r="L425" s="6">
        <v>502.85033139999996</v>
      </c>
      <c r="M425" s="6">
        <v>504.88998913999995</v>
      </c>
      <c r="N425" s="6">
        <v>60483.798071</v>
      </c>
      <c r="O425" s="6">
        <v>60485.005681</v>
      </c>
      <c r="P425" s="6">
        <v>60487.12774124</v>
      </c>
      <c r="Q425" s="6">
        <v>20</v>
      </c>
      <c r="R425" s="6">
        <v>21</v>
      </c>
      <c r="S425" s="6">
        <v>21</v>
      </c>
      <c r="T425" s="6">
        <v>502.2626131967319</v>
      </c>
      <c r="U425" s="6">
        <v>60484.05237351303</v>
      </c>
      <c r="V425" s="6">
        <v>60525.8022235656</v>
      </c>
      <c r="W425" s="4">
        <v>0</v>
      </c>
      <c r="X425" s="4">
        <v>0</v>
      </c>
      <c r="Y425" s="4">
        <v>0</v>
      </c>
      <c r="Z425" s="4" t="s">
        <v>993</v>
      </c>
      <c r="AA425" s="4" t="s">
        <v>994</v>
      </c>
    </row>
    <row r="426" ht="30" customHeight="1" spans="1:27" x14ac:dyDescent="0.25">
      <c r="A426" s="4" t="s">
        <v>146</v>
      </c>
      <c r="B426" s="4" t="s">
        <v>108</v>
      </c>
      <c r="C426" s="4">
        <v>5000</v>
      </c>
      <c r="D426" s="4" t="s">
        <v>109</v>
      </c>
      <c r="E426" s="4">
        <v>8</v>
      </c>
      <c r="F426" s="4">
        <v>312</v>
      </c>
      <c r="G426" s="4">
        <v>3477</v>
      </c>
      <c r="H426" s="4">
        <v>1750</v>
      </c>
      <c r="I426" s="4">
        <v>3166</v>
      </c>
      <c r="J426" s="5">
        <v>0</v>
      </c>
      <c r="K426" s="6">
        <v>501.963692</v>
      </c>
      <c r="L426" s="6">
        <v>502.8745564</v>
      </c>
      <c r="M426" s="6">
        <v>504.81693212</v>
      </c>
      <c r="N426" s="6">
        <v>60483.810996</v>
      </c>
      <c r="O426" s="6">
        <v>60485.1065932</v>
      </c>
      <c r="P426" s="6">
        <v>60487.050712879995</v>
      </c>
      <c r="Q426" s="6">
        <v>20</v>
      </c>
      <c r="R426" s="6">
        <v>21</v>
      </c>
      <c r="S426" s="6">
        <v>21</v>
      </c>
      <c r="T426" s="6">
        <v>502.10702573626764</v>
      </c>
      <c r="U426" s="6">
        <v>60483.92455373683</v>
      </c>
      <c r="V426" s="6">
        <v>60526.54522035263</v>
      </c>
      <c r="W426" s="4">
        <v>0</v>
      </c>
      <c r="X426" s="4">
        <v>0</v>
      </c>
      <c r="Y426" s="4">
        <v>0</v>
      </c>
      <c r="Z426" s="4" t="s">
        <v>995</v>
      </c>
      <c r="AA426" s="4" t="s">
        <v>996</v>
      </c>
    </row>
    <row r="427" ht="30" customHeight="1" spans="1:27" x14ac:dyDescent="0.25">
      <c r="A427" s="4" t="s">
        <v>146</v>
      </c>
      <c r="B427" s="4" t="s">
        <v>108</v>
      </c>
      <c r="C427" s="4">
        <v>5000</v>
      </c>
      <c r="D427" s="4" t="s">
        <v>109</v>
      </c>
      <c r="E427" s="4">
        <v>9</v>
      </c>
      <c r="F427" s="4">
        <v>312</v>
      </c>
      <c r="G427" s="4">
        <v>3475</v>
      </c>
      <c r="H427" s="4">
        <v>1748</v>
      </c>
      <c r="I427" s="4">
        <v>3163</v>
      </c>
      <c r="J427" s="5">
        <v>0</v>
      </c>
      <c r="K427" s="6">
        <v>501.952062</v>
      </c>
      <c r="L427" s="6">
        <v>502.860808</v>
      </c>
      <c r="M427" s="6">
        <v>504.32400852</v>
      </c>
      <c r="N427" s="6">
        <v>60483.775965</v>
      </c>
      <c r="O427" s="6">
        <v>60484.960518</v>
      </c>
      <c r="P427" s="6">
        <v>60486.45747926</v>
      </c>
      <c r="Q427" s="6">
        <v>20</v>
      </c>
      <c r="R427" s="6">
        <v>21</v>
      </c>
      <c r="S427" s="6">
        <v>21</v>
      </c>
      <c r="T427" s="6">
        <v>502.1902259294973</v>
      </c>
      <c r="U427" s="6">
        <v>60483.978681979585</v>
      </c>
      <c r="V427" s="6">
        <v>60526.52057721182</v>
      </c>
      <c r="W427" s="4">
        <v>0</v>
      </c>
      <c r="X427" s="4">
        <v>0</v>
      </c>
      <c r="Y427" s="4">
        <v>0</v>
      </c>
      <c r="Z427" s="4" t="s">
        <v>997</v>
      </c>
      <c r="AA427" s="4" t="s">
        <v>998</v>
      </c>
    </row>
    <row r="428" ht="30" customHeight="1" spans="1:27" x14ac:dyDescent="0.25">
      <c r="A428" s="4" t="s">
        <v>146</v>
      </c>
      <c r="B428" s="4" t="s">
        <v>108</v>
      </c>
      <c r="C428" s="4">
        <v>5000</v>
      </c>
      <c r="D428" s="4" t="s">
        <v>109</v>
      </c>
      <c r="E428" s="4">
        <v>10</v>
      </c>
      <c r="F428" s="4">
        <v>312</v>
      </c>
      <c r="G428" s="4">
        <v>3477</v>
      </c>
      <c r="H428" s="4">
        <v>1761</v>
      </c>
      <c r="I428" s="4">
        <v>3165</v>
      </c>
      <c r="J428" s="5">
        <v>0</v>
      </c>
      <c r="K428" s="6">
        <v>501.955906</v>
      </c>
      <c r="L428" s="6">
        <v>502.9024896</v>
      </c>
      <c r="M428" s="6">
        <v>504.99871823999996</v>
      </c>
      <c r="N428" s="6">
        <v>60483.797805</v>
      </c>
      <c r="O428" s="6">
        <v>60484.9810322</v>
      </c>
      <c r="P428" s="6">
        <v>60487.088269679996</v>
      </c>
      <c r="Q428" s="6">
        <v>20</v>
      </c>
      <c r="R428" s="6">
        <v>21</v>
      </c>
      <c r="S428" s="6">
        <v>21</v>
      </c>
      <c r="T428" s="6">
        <v>502.11291476588997</v>
      </c>
      <c r="U428" s="6">
        <v>60483.9072747703</v>
      </c>
      <c r="V428" s="6">
        <v>60526.557923451204</v>
      </c>
      <c r="W428" s="4">
        <v>0</v>
      </c>
      <c r="X428" s="4">
        <v>0</v>
      </c>
      <c r="Y428" s="4">
        <v>0</v>
      </c>
      <c r="Z428" s="4" t="s">
        <v>999</v>
      </c>
      <c r="AA428" s="4" t="s">
        <v>1000</v>
      </c>
    </row>
    <row r="429" ht="30" customHeight="1" spans="1:27" x14ac:dyDescent="0.25">
      <c r="A429" s="4" t="s">
        <v>146</v>
      </c>
      <c r="B429" s="4" t="s">
        <v>108</v>
      </c>
      <c r="C429" s="4">
        <v>5000</v>
      </c>
      <c r="D429" s="4" t="s">
        <v>109</v>
      </c>
      <c r="E429" s="4">
        <v>11</v>
      </c>
      <c r="F429" s="4">
        <v>312</v>
      </c>
      <c r="G429" s="4">
        <v>3478</v>
      </c>
      <c r="H429" s="4">
        <v>1720</v>
      </c>
      <c r="I429" s="4">
        <v>3166</v>
      </c>
      <c r="J429" s="5">
        <v>0</v>
      </c>
      <c r="K429" s="6">
        <v>501.957977</v>
      </c>
      <c r="L429" s="6">
        <v>502.8445879</v>
      </c>
      <c r="M429" s="6">
        <v>505.12797918</v>
      </c>
      <c r="N429" s="6">
        <v>60483.7794</v>
      </c>
      <c r="O429" s="6">
        <v>60484.9932396</v>
      </c>
      <c r="P429" s="6">
        <v>60487.00756695</v>
      </c>
      <c r="Q429" s="6">
        <v>20</v>
      </c>
      <c r="R429" s="6">
        <v>21</v>
      </c>
      <c r="S429" s="6">
        <v>21</v>
      </c>
      <c r="T429" s="6">
        <v>502.2961014629093</v>
      </c>
      <c r="U429" s="6">
        <v>60484.099774821836</v>
      </c>
      <c r="V429" s="6">
        <v>60525.4250705889</v>
      </c>
      <c r="W429" s="4">
        <v>0</v>
      </c>
      <c r="X429" s="4">
        <v>0</v>
      </c>
      <c r="Y429" s="4">
        <v>0</v>
      </c>
      <c r="Z429" s="4" t="s">
        <v>1001</v>
      </c>
      <c r="AA429" s="4" t="s">
        <v>1002</v>
      </c>
    </row>
    <row r="430" ht="30" customHeight="1" spans="1:27" x14ac:dyDescent="0.25">
      <c r="A430" s="4" t="s">
        <v>146</v>
      </c>
      <c r="B430" s="4" t="s">
        <v>108</v>
      </c>
      <c r="C430" s="4">
        <v>5000</v>
      </c>
      <c r="D430" s="4" t="s">
        <v>109</v>
      </c>
      <c r="E430" s="4">
        <v>12</v>
      </c>
      <c r="F430" s="4">
        <v>312</v>
      </c>
      <c r="G430" s="4">
        <v>3475</v>
      </c>
      <c r="H430" s="4">
        <v>1773</v>
      </c>
      <c r="I430" s="4">
        <v>3163</v>
      </c>
      <c r="J430" s="5">
        <v>0</v>
      </c>
      <c r="K430" s="6">
        <v>501.935978</v>
      </c>
      <c r="L430" s="6">
        <v>502.8432316</v>
      </c>
      <c r="M430" s="6">
        <v>504.55036828</v>
      </c>
      <c r="N430" s="6">
        <v>60483.825576</v>
      </c>
      <c r="O430" s="6">
        <v>60484.9858708</v>
      </c>
      <c r="P430" s="6">
        <v>60486.92687536</v>
      </c>
      <c r="Q430" s="6">
        <v>20</v>
      </c>
      <c r="R430" s="6">
        <v>21</v>
      </c>
      <c r="S430" s="6">
        <v>21</v>
      </c>
      <c r="T430" s="6">
        <v>502.0941581925183</v>
      </c>
      <c r="U430" s="6">
        <v>60483.94015824748</v>
      </c>
      <c r="V430" s="6">
        <v>60527.04049520979</v>
      </c>
      <c r="W430" s="4">
        <v>0</v>
      </c>
      <c r="X430" s="4">
        <v>0</v>
      </c>
      <c r="Y430" s="4">
        <v>0</v>
      </c>
      <c r="Z430" s="4" t="s">
        <v>1003</v>
      </c>
      <c r="AA430" s="4" t="s">
        <v>1004</v>
      </c>
    </row>
    <row r="431" ht="30" customHeight="1" spans="1:27" x14ac:dyDescent="0.25">
      <c r="A431" s="4" t="s">
        <v>146</v>
      </c>
      <c r="B431" s="4" t="s">
        <v>108</v>
      </c>
      <c r="C431" s="4">
        <v>5000</v>
      </c>
      <c r="D431" s="4" t="s">
        <v>109</v>
      </c>
      <c r="E431" s="4">
        <v>13</v>
      </c>
      <c r="F431" s="4">
        <v>312</v>
      </c>
      <c r="G431" s="4">
        <v>3476</v>
      </c>
      <c r="H431" s="4">
        <v>1731</v>
      </c>
      <c r="I431" s="4">
        <v>3164</v>
      </c>
      <c r="J431" s="5">
        <v>0</v>
      </c>
      <c r="K431" s="6">
        <v>501.9549555</v>
      </c>
      <c r="L431" s="6">
        <v>502.90788050000003</v>
      </c>
      <c r="M431" s="6">
        <v>504.89394849999996</v>
      </c>
      <c r="N431" s="6">
        <v>60483.7909525</v>
      </c>
      <c r="O431" s="6">
        <v>60484.963521</v>
      </c>
      <c r="P431" s="6">
        <v>60486.910007</v>
      </c>
      <c r="Q431" s="6">
        <v>20</v>
      </c>
      <c r="R431" s="6">
        <v>21</v>
      </c>
      <c r="S431" s="6">
        <v>21</v>
      </c>
      <c r="T431" s="6">
        <v>502.14816936306244</v>
      </c>
      <c r="U431" s="6">
        <v>60483.934626983835</v>
      </c>
      <c r="V431" s="6">
        <v>60525.90742216032</v>
      </c>
      <c r="W431" s="4">
        <v>0</v>
      </c>
      <c r="X431" s="4">
        <v>0</v>
      </c>
      <c r="Y431" s="4">
        <v>0</v>
      </c>
      <c r="Z431" s="4" t="s">
        <v>1005</v>
      </c>
      <c r="AA431" s="4" t="s">
        <v>1006</v>
      </c>
    </row>
    <row r="432" ht="30" customHeight="1" spans="1:27" x14ac:dyDescent="0.25">
      <c r="A432" s="4" t="s">
        <v>146</v>
      </c>
      <c r="B432" s="4" t="s">
        <v>108</v>
      </c>
      <c r="C432" s="4">
        <v>5000</v>
      </c>
      <c r="D432" s="4" t="s">
        <v>109</v>
      </c>
      <c r="E432" s="4">
        <v>14</v>
      </c>
      <c r="F432" s="4">
        <v>312</v>
      </c>
      <c r="G432" s="4">
        <v>3476</v>
      </c>
      <c r="H432" s="4">
        <v>1712</v>
      </c>
      <c r="I432" s="4">
        <v>3164</v>
      </c>
      <c r="J432" s="5">
        <v>0</v>
      </c>
      <c r="K432" s="6">
        <v>501.9320305</v>
      </c>
      <c r="L432" s="6">
        <v>502.8815015</v>
      </c>
      <c r="M432" s="6">
        <v>505.213924</v>
      </c>
      <c r="N432" s="6">
        <v>60483.7770035</v>
      </c>
      <c r="O432" s="6">
        <v>60485.037947</v>
      </c>
      <c r="P432" s="6">
        <v>60486.903011999995</v>
      </c>
      <c r="Q432" s="6">
        <v>20</v>
      </c>
      <c r="R432" s="6">
        <v>21</v>
      </c>
      <c r="S432" s="6">
        <v>21</v>
      </c>
      <c r="T432" s="6">
        <v>502.08772734205974</v>
      </c>
      <c r="U432" s="6">
        <v>60483.87083230417</v>
      </c>
      <c r="V432" s="6">
        <v>60525.826284528805</v>
      </c>
      <c r="W432" s="4">
        <v>0</v>
      </c>
      <c r="X432" s="4">
        <v>0</v>
      </c>
      <c r="Y432" s="4">
        <v>0</v>
      </c>
      <c r="Z432" s="4" t="s">
        <v>1007</v>
      </c>
      <c r="AA432" s="4" t="s">
        <v>1008</v>
      </c>
    </row>
    <row r="433" ht="30" customHeight="1" spans="1:27" x14ac:dyDescent="0.25">
      <c r="A433" s="4" t="s">
        <v>146</v>
      </c>
      <c r="B433" s="4" t="s">
        <v>108</v>
      </c>
      <c r="C433" s="4">
        <v>5000</v>
      </c>
      <c r="D433" s="4" t="s">
        <v>109</v>
      </c>
      <c r="E433" s="4">
        <v>15</v>
      </c>
      <c r="F433" s="4">
        <v>312</v>
      </c>
      <c r="G433" s="4">
        <v>3475</v>
      </c>
      <c r="H433" s="4">
        <v>1727</v>
      </c>
      <c r="I433" s="4">
        <v>3165</v>
      </c>
      <c r="J433" s="5">
        <v>0</v>
      </c>
      <c r="K433" s="6">
        <v>501.937181</v>
      </c>
      <c r="L433" s="6">
        <v>502.8339892</v>
      </c>
      <c r="M433" s="6">
        <v>504.6517022</v>
      </c>
      <c r="N433" s="6">
        <v>60483.813318</v>
      </c>
      <c r="O433" s="6">
        <v>60484.9789802</v>
      </c>
      <c r="P433" s="6">
        <v>60486.43491736</v>
      </c>
      <c r="Q433" s="6">
        <v>20</v>
      </c>
      <c r="R433" s="6">
        <v>21</v>
      </c>
      <c r="S433" s="6">
        <v>21</v>
      </c>
      <c r="T433" s="6">
        <v>502.1051511294971</v>
      </c>
      <c r="U433" s="6">
        <v>60483.89535420284</v>
      </c>
      <c r="V433" s="6">
        <v>60525.725141646166</v>
      </c>
      <c r="W433" s="4">
        <v>0</v>
      </c>
      <c r="X433" s="4">
        <v>0</v>
      </c>
      <c r="Y433" s="4">
        <v>0</v>
      </c>
      <c r="Z433" s="4" t="s">
        <v>1009</v>
      </c>
      <c r="AA433" s="4" t="s">
        <v>1010</v>
      </c>
    </row>
    <row r="434" ht="30" customHeight="1" spans="1:27" x14ac:dyDescent="0.25">
      <c r="A434" s="4" t="s">
        <v>146</v>
      </c>
      <c r="B434" s="4" t="s">
        <v>108</v>
      </c>
      <c r="C434" s="4">
        <v>10000</v>
      </c>
      <c r="D434" s="4" t="s">
        <v>109</v>
      </c>
      <c r="E434" s="4">
        <v>0</v>
      </c>
      <c r="F434" s="4">
        <v>625</v>
      </c>
      <c r="G434" s="4">
        <v>6964</v>
      </c>
      <c r="H434" s="4">
        <v>3528</v>
      </c>
      <c r="I434" s="4">
        <v>6340</v>
      </c>
      <c r="J434" s="5">
        <v>0</v>
      </c>
      <c r="K434" s="6">
        <v>502.122383</v>
      </c>
      <c r="L434" s="6">
        <v>503.18090390000003</v>
      </c>
      <c r="M434" s="6">
        <v>514.40327503</v>
      </c>
      <c r="N434" s="6">
        <v>60483.9765215</v>
      </c>
      <c r="O434" s="6">
        <v>60485.3800067</v>
      </c>
      <c r="P434" s="6">
        <v>60492.69276755</v>
      </c>
      <c r="Q434" s="6">
        <v>20</v>
      </c>
      <c r="R434" s="6">
        <v>21</v>
      </c>
      <c r="S434" s="6">
        <v>21</v>
      </c>
      <c r="T434" s="6">
        <v>502.7390562217126</v>
      </c>
      <c r="U434" s="6">
        <v>60484.49662850686</v>
      </c>
      <c r="V434" s="6">
        <v>60527.95257457206</v>
      </c>
      <c r="W434" s="4">
        <v>0</v>
      </c>
      <c r="X434" s="4">
        <v>0</v>
      </c>
      <c r="Y434" s="4">
        <v>0</v>
      </c>
      <c r="Z434" s="4" t="s">
        <v>1011</v>
      </c>
      <c r="AA434" s="4" t="s">
        <v>1012</v>
      </c>
    </row>
    <row r="435" ht="30" customHeight="1" spans="1:27" x14ac:dyDescent="0.25">
      <c r="A435" s="4" t="s">
        <v>146</v>
      </c>
      <c r="B435" s="4" t="s">
        <v>108</v>
      </c>
      <c r="C435" s="4">
        <v>10000</v>
      </c>
      <c r="D435" s="4" t="s">
        <v>109</v>
      </c>
      <c r="E435" s="4">
        <v>1</v>
      </c>
      <c r="F435" s="4">
        <v>625</v>
      </c>
      <c r="G435" s="4">
        <v>6965</v>
      </c>
      <c r="H435" s="4">
        <v>3462</v>
      </c>
      <c r="I435" s="4">
        <v>6341</v>
      </c>
      <c r="J435" s="5">
        <v>0</v>
      </c>
      <c r="K435" s="6">
        <v>502.13881</v>
      </c>
      <c r="L435" s="6">
        <v>503.14689680000004</v>
      </c>
      <c r="M435" s="6">
        <v>511.07468808</v>
      </c>
      <c r="N435" s="6">
        <v>60483.983182</v>
      </c>
      <c r="O435" s="6">
        <v>60485.3621318</v>
      </c>
      <c r="P435" s="6">
        <v>60489.77410168</v>
      </c>
      <c r="Q435" s="6">
        <v>20</v>
      </c>
      <c r="R435" s="6">
        <v>21</v>
      </c>
      <c r="S435" s="6">
        <v>21</v>
      </c>
      <c r="T435" s="6">
        <v>502.6414398396278</v>
      </c>
      <c r="U435" s="6">
        <v>60484.383941412656</v>
      </c>
      <c r="V435" s="6">
        <v>60526.85546193745</v>
      </c>
      <c r="W435" s="4">
        <v>0</v>
      </c>
      <c r="X435" s="4">
        <v>0</v>
      </c>
      <c r="Y435" s="4">
        <v>0</v>
      </c>
      <c r="Z435" s="4" t="s">
        <v>1013</v>
      </c>
      <c r="AA435" s="4" t="s">
        <v>1014</v>
      </c>
    </row>
    <row r="436" ht="30" customHeight="1" spans="1:27" x14ac:dyDescent="0.25">
      <c r="A436" s="4" t="s">
        <v>146</v>
      </c>
      <c r="B436" s="4" t="s">
        <v>108</v>
      </c>
      <c r="C436" s="4">
        <v>10000</v>
      </c>
      <c r="D436" s="4" t="s">
        <v>109</v>
      </c>
      <c r="E436" s="4">
        <v>2</v>
      </c>
      <c r="F436" s="4">
        <v>625</v>
      </c>
      <c r="G436" s="4">
        <v>6962</v>
      </c>
      <c r="H436" s="4">
        <v>3550</v>
      </c>
      <c r="I436" s="4">
        <v>6338</v>
      </c>
      <c r="J436" s="5">
        <v>0</v>
      </c>
      <c r="K436" s="6">
        <v>502.12145799999996</v>
      </c>
      <c r="L436" s="6">
        <v>503.1229432</v>
      </c>
      <c r="M436" s="6">
        <v>511.5967865</v>
      </c>
      <c r="N436" s="6">
        <v>60483.9818815</v>
      </c>
      <c r="O436" s="6">
        <v>60485.322153500005</v>
      </c>
      <c r="P436" s="6">
        <v>60490.78791426</v>
      </c>
      <c r="Q436" s="6">
        <v>20</v>
      </c>
      <c r="R436" s="6">
        <v>21</v>
      </c>
      <c r="S436" s="6">
        <v>21</v>
      </c>
      <c r="T436" s="6">
        <v>502.78615147902906</v>
      </c>
      <c r="U436" s="6">
        <v>60484.5365659024</v>
      </c>
      <c r="V436" s="6">
        <v>60528.25611622799</v>
      </c>
      <c r="W436" s="4">
        <v>0</v>
      </c>
      <c r="X436" s="4">
        <v>0</v>
      </c>
      <c r="Y436" s="4">
        <v>0</v>
      </c>
      <c r="Z436" s="4" t="s">
        <v>1015</v>
      </c>
      <c r="AA436" s="4" t="s">
        <v>1016</v>
      </c>
    </row>
    <row r="437" ht="30" customHeight="1" spans="1:27" x14ac:dyDescent="0.25">
      <c r="A437" s="4" t="s">
        <v>146</v>
      </c>
      <c r="B437" s="4" t="s">
        <v>108</v>
      </c>
      <c r="C437" s="4">
        <v>10000</v>
      </c>
      <c r="D437" s="4" t="s">
        <v>109</v>
      </c>
      <c r="E437" s="4">
        <v>3</v>
      </c>
      <c r="F437" s="4">
        <v>625</v>
      </c>
      <c r="G437" s="4">
        <v>6963</v>
      </c>
      <c r="H437" s="4">
        <v>3563</v>
      </c>
      <c r="I437" s="4">
        <v>6339</v>
      </c>
      <c r="J437" s="5">
        <v>0</v>
      </c>
      <c r="K437" s="6">
        <v>502.156202</v>
      </c>
      <c r="L437" s="6">
        <v>503.2247248</v>
      </c>
      <c r="M437" s="6">
        <v>513.0572190400001</v>
      </c>
      <c r="N437" s="6">
        <v>60484.010343</v>
      </c>
      <c r="O437" s="6">
        <v>60485.3267388</v>
      </c>
      <c r="P437" s="6">
        <v>60491.04341372</v>
      </c>
      <c r="Q437" s="6">
        <v>20</v>
      </c>
      <c r="R437" s="6">
        <v>21</v>
      </c>
      <c r="S437" s="6">
        <v>21</v>
      </c>
      <c r="T437" s="6">
        <v>502.82560456699804</v>
      </c>
      <c r="U437" s="6">
        <v>60484.5102385004</v>
      </c>
      <c r="V437" s="6">
        <v>60527.56227552449</v>
      </c>
      <c r="W437" s="4">
        <v>0</v>
      </c>
      <c r="X437" s="4">
        <v>0</v>
      </c>
      <c r="Y437" s="4">
        <v>0</v>
      </c>
      <c r="Z437" s="4" t="s">
        <v>1017</v>
      </c>
      <c r="AA437" s="4" t="s">
        <v>1018</v>
      </c>
    </row>
    <row r="438" ht="30" customHeight="1" spans="1:27" x14ac:dyDescent="0.25">
      <c r="A438" s="4" t="s">
        <v>146</v>
      </c>
      <c r="B438" s="4" t="s">
        <v>108</v>
      </c>
      <c r="C438" s="4">
        <v>10000</v>
      </c>
      <c r="D438" s="4" t="s">
        <v>109</v>
      </c>
      <c r="E438" s="4">
        <v>4</v>
      </c>
      <c r="F438" s="4">
        <v>625</v>
      </c>
      <c r="G438" s="4">
        <v>6964</v>
      </c>
      <c r="H438" s="4">
        <v>3481</v>
      </c>
      <c r="I438" s="4">
        <v>6339</v>
      </c>
      <c r="J438" s="5">
        <v>0</v>
      </c>
      <c r="K438" s="6">
        <v>502.1435785</v>
      </c>
      <c r="L438" s="6">
        <v>503.1891641</v>
      </c>
      <c r="M438" s="6">
        <v>515.46677862</v>
      </c>
      <c r="N438" s="6">
        <v>60483.989853</v>
      </c>
      <c r="O438" s="6">
        <v>60485.3622911</v>
      </c>
      <c r="P438" s="6">
        <v>60491.15880831</v>
      </c>
      <c r="Q438" s="6">
        <v>20</v>
      </c>
      <c r="R438" s="6">
        <v>21</v>
      </c>
      <c r="S438" s="6">
        <v>21</v>
      </c>
      <c r="T438" s="6">
        <v>502.89345943294</v>
      </c>
      <c r="U438" s="6">
        <v>60484.579303746454</v>
      </c>
      <c r="V438" s="6">
        <v>60526.84012862338</v>
      </c>
      <c r="W438" s="4">
        <v>0</v>
      </c>
      <c r="X438" s="4">
        <v>0</v>
      </c>
      <c r="Y438" s="4">
        <v>0</v>
      </c>
      <c r="Z438" s="4" t="s">
        <v>1019</v>
      </c>
      <c r="AA438" s="4" t="s">
        <v>1020</v>
      </c>
    </row>
    <row r="439" ht="30" customHeight="1" spans="1:27" x14ac:dyDescent="0.25">
      <c r="A439" s="4" t="s">
        <v>146</v>
      </c>
      <c r="B439" s="4" t="s">
        <v>108</v>
      </c>
      <c r="C439" s="4">
        <v>10000</v>
      </c>
      <c r="D439" s="4" t="s">
        <v>109</v>
      </c>
      <c r="E439" s="4">
        <v>5</v>
      </c>
      <c r="F439" s="4">
        <v>625</v>
      </c>
      <c r="G439" s="4">
        <v>6964</v>
      </c>
      <c r="H439" s="4">
        <v>3530</v>
      </c>
      <c r="I439" s="4">
        <v>6339</v>
      </c>
      <c r="J439" s="5">
        <v>0</v>
      </c>
      <c r="K439" s="6">
        <v>502.15277100000003</v>
      </c>
      <c r="L439" s="6">
        <v>503.1650178</v>
      </c>
      <c r="M439" s="6">
        <v>510.52843595</v>
      </c>
      <c r="N439" s="6">
        <v>60484.0226575</v>
      </c>
      <c r="O439" s="6">
        <v>60485.3407383</v>
      </c>
      <c r="P439" s="6">
        <v>60490.13381111</v>
      </c>
      <c r="Q439" s="6">
        <v>20</v>
      </c>
      <c r="R439" s="6">
        <v>21</v>
      </c>
      <c r="S439" s="6">
        <v>21</v>
      </c>
      <c r="T439" s="6">
        <v>502.57384813943054</v>
      </c>
      <c r="U439" s="6">
        <v>60484.356425151076</v>
      </c>
      <c r="V439" s="6">
        <v>60527.20868088326</v>
      </c>
      <c r="W439" s="4">
        <v>0</v>
      </c>
      <c r="X439" s="4">
        <v>0</v>
      </c>
      <c r="Y439" s="4">
        <v>0</v>
      </c>
      <c r="Z439" s="4" t="s">
        <v>1021</v>
      </c>
      <c r="AA439" s="4" t="s">
        <v>1022</v>
      </c>
    </row>
    <row r="440" ht="30" customHeight="1" spans="1:27" x14ac:dyDescent="0.25">
      <c r="A440" s="4" t="s">
        <v>146</v>
      </c>
      <c r="B440" s="4" t="s">
        <v>108</v>
      </c>
      <c r="C440" s="4">
        <v>10000</v>
      </c>
      <c r="D440" s="4" t="s">
        <v>109</v>
      </c>
      <c r="E440" s="4">
        <v>6</v>
      </c>
      <c r="F440" s="4">
        <v>625</v>
      </c>
      <c r="G440" s="4">
        <v>6964</v>
      </c>
      <c r="H440" s="4">
        <v>3521</v>
      </c>
      <c r="I440" s="4">
        <v>6339</v>
      </c>
      <c r="J440" s="5">
        <v>0</v>
      </c>
      <c r="K440" s="6">
        <v>502.150641</v>
      </c>
      <c r="L440" s="6">
        <v>503.2024146</v>
      </c>
      <c r="M440" s="6">
        <v>513.9360028499999</v>
      </c>
      <c r="N440" s="6">
        <v>60484.018832500005</v>
      </c>
      <c r="O440" s="6">
        <v>60485.3761945</v>
      </c>
      <c r="P440" s="6">
        <v>60492.81592786</v>
      </c>
      <c r="Q440" s="6">
        <v>20</v>
      </c>
      <c r="R440" s="6">
        <v>21</v>
      </c>
      <c r="S440" s="6">
        <v>21</v>
      </c>
      <c r="T440" s="6">
        <v>502.82495075962095</v>
      </c>
      <c r="U440" s="6">
        <v>60484.57767709509</v>
      </c>
      <c r="V440" s="6">
        <v>60527.27618779391</v>
      </c>
      <c r="W440" s="4">
        <v>0</v>
      </c>
      <c r="X440" s="4">
        <v>0</v>
      </c>
      <c r="Y440" s="4">
        <v>0</v>
      </c>
      <c r="Z440" s="4" t="s">
        <v>1023</v>
      </c>
      <c r="AA440" s="4" t="s">
        <v>1024</v>
      </c>
    </row>
    <row r="441" ht="30" customHeight="1" spans="1:27" x14ac:dyDescent="0.25">
      <c r="A441" s="4" t="s">
        <v>146</v>
      </c>
      <c r="B441" s="4" t="s">
        <v>108</v>
      </c>
      <c r="C441" s="4">
        <v>10000</v>
      </c>
      <c r="D441" s="4" t="s">
        <v>109</v>
      </c>
      <c r="E441" s="4">
        <v>7</v>
      </c>
      <c r="F441" s="4">
        <v>625</v>
      </c>
      <c r="G441" s="4">
        <v>6962</v>
      </c>
      <c r="H441" s="4">
        <v>3462</v>
      </c>
      <c r="I441" s="4">
        <v>6337</v>
      </c>
      <c r="J441" s="5">
        <v>0</v>
      </c>
      <c r="K441" s="6">
        <v>502.142972</v>
      </c>
      <c r="L441" s="6">
        <v>503.1795611</v>
      </c>
      <c r="M441" s="6">
        <v>510.56098952000013</v>
      </c>
      <c r="N441" s="6">
        <v>60483.989188499996</v>
      </c>
      <c r="O441" s="6">
        <v>60485.3418497</v>
      </c>
      <c r="P441" s="6">
        <v>60489.98288826</v>
      </c>
      <c r="Q441" s="6">
        <v>20</v>
      </c>
      <c r="R441" s="6">
        <v>21</v>
      </c>
      <c r="S441" s="6">
        <v>21</v>
      </c>
      <c r="T441" s="6">
        <v>502.5392640976713</v>
      </c>
      <c r="U441" s="6">
        <v>60484.27510213149</v>
      </c>
      <c r="V441" s="6">
        <v>60526.473443833565</v>
      </c>
      <c r="W441" s="4">
        <v>0</v>
      </c>
      <c r="X441" s="4">
        <v>0</v>
      </c>
      <c r="Y441" s="4">
        <v>0</v>
      </c>
      <c r="Z441" s="4" t="s">
        <v>1025</v>
      </c>
      <c r="AA441" s="4" t="s">
        <v>1026</v>
      </c>
    </row>
    <row r="442" ht="30" customHeight="1" spans="1:27" x14ac:dyDescent="0.25">
      <c r="A442" s="4" t="s">
        <v>146</v>
      </c>
      <c r="B442" s="4" t="s">
        <v>108</v>
      </c>
      <c r="C442" s="4">
        <v>10000</v>
      </c>
      <c r="D442" s="4" t="s">
        <v>109</v>
      </c>
      <c r="E442" s="4">
        <v>8</v>
      </c>
      <c r="F442" s="4">
        <v>625</v>
      </c>
      <c r="G442" s="4">
        <v>6964</v>
      </c>
      <c r="H442" s="4">
        <v>3535</v>
      </c>
      <c r="I442" s="4">
        <v>6339</v>
      </c>
      <c r="J442" s="5">
        <v>0</v>
      </c>
      <c r="K442" s="6">
        <v>502.1516515</v>
      </c>
      <c r="L442" s="6">
        <v>503.1924461</v>
      </c>
      <c r="M442" s="6">
        <v>513.3172822199999</v>
      </c>
      <c r="N442" s="6">
        <v>60484.002698</v>
      </c>
      <c r="O442" s="6">
        <v>60485.350578900005</v>
      </c>
      <c r="P442" s="6">
        <v>60492.50076833</v>
      </c>
      <c r="Q442" s="6">
        <v>20</v>
      </c>
      <c r="R442" s="6">
        <v>21</v>
      </c>
      <c r="S442" s="6">
        <v>21</v>
      </c>
      <c r="T442" s="6">
        <v>502.78811860281365</v>
      </c>
      <c r="U442" s="6">
        <v>60484.459442656334</v>
      </c>
      <c r="V442" s="6">
        <v>60527.60221781336</v>
      </c>
      <c r="W442" s="4">
        <v>0</v>
      </c>
      <c r="X442" s="4">
        <v>0</v>
      </c>
      <c r="Y442" s="4">
        <v>0</v>
      </c>
      <c r="Z442" s="4" t="s">
        <v>1027</v>
      </c>
      <c r="AA442" s="4" t="s">
        <v>1028</v>
      </c>
    </row>
    <row r="443" ht="30" customHeight="1" spans="1:27" x14ac:dyDescent="0.25">
      <c r="A443" s="4" t="s">
        <v>146</v>
      </c>
      <c r="B443" s="4" t="s">
        <v>108</v>
      </c>
      <c r="C443" s="4">
        <v>10000</v>
      </c>
      <c r="D443" s="4" t="s">
        <v>109</v>
      </c>
      <c r="E443" s="4">
        <v>9</v>
      </c>
      <c r="F443" s="4">
        <v>625</v>
      </c>
      <c r="G443" s="4">
        <v>6964</v>
      </c>
      <c r="H443" s="4">
        <v>3444</v>
      </c>
      <c r="I443" s="4">
        <v>6339</v>
      </c>
      <c r="J443" s="5">
        <v>0</v>
      </c>
      <c r="K443" s="6">
        <v>502.12330799999995</v>
      </c>
      <c r="L443" s="6">
        <v>503.1100394</v>
      </c>
      <c r="M443" s="6">
        <v>510.43181212999997</v>
      </c>
      <c r="N443" s="6">
        <v>60483.9743835</v>
      </c>
      <c r="O443" s="6">
        <v>60485.2825803</v>
      </c>
      <c r="P443" s="6">
        <v>60490.20669729</v>
      </c>
      <c r="Q443" s="6">
        <v>20</v>
      </c>
      <c r="R443" s="6">
        <v>21</v>
      </c>
      <c r="S443" s="6">
        <v>21</v>
      </c>
      <c r="T443" s="6">
        <v>502.58633814819103</v>
      </c>
      <c r="U443" s="6">
        <v>60484.34198677308</v>
      </c>
      <c r="V443" s="6">
        <v>60526.58194466708</v>
      </c>
      <c r="W443" s="4">
        <v>0</v>
      </c>
      <c r="X443" s="4">
        <v>0</v>
      </c>
      <c r="Y443" s="4">
        <v>0</v>
      </c>
      <c r="Z443" s="4" t="s">
        <v>1029</v>
      </c>
      <c r="AA443" s="4" t="s">
        <v>1030</v>
      </c>
    </row>
    <row r="444" ht="30" customHeight="1" spans="1:27" x14ac:dyDescent="0.25">
      <c r="A444" s="4" t="s">
        <v>146</v>
      </c>
      <c r="B444" s="4" t="s">
        <v>108</v>
      </c>
      <c r="C444" s="4">
        <v>10000</v>
      </c>
      <c r="D444" s="4" t="s">
        <v>109</v>
      </c>
      <c r="E444" s="4">
        <v>10</v>
      </c>
      <c r="F444" s="4">
        <v>625</v>
      </c>
      <c r="G444" s="4">
        <v>6964</v>
      </c>
      <c r="H444" s="4">
        <v>3476</v>
      </c>
      <c r="I444" s="4">
        <v>6339</v>
      </c>
      <c r="J444" s="5">
        <v>0</v>
      </c>
      <c r="K444" s="6">
        <v>502.14027550000003</v>
      </c>
      <c r="L444" s="6">
        <v>503.1833371</v>
      </c>
      <c r="M444" s="6">
        <v>511.56474803</v>
      </c>
      <c r="N444" s="6">
        <v>60483.98756550001</v>
      </c>
      <c r="O444" s="6">
        <v>60485.3198053</v>
      </c>
      <c r="P444" s="6">
        <v>60492.66139968</v>
      </c>
      <c r="Q444" s="6">
        <v>20</v>
      </c>
      <c r="R444" s="6">
        <v>21</v>
      </c>
      <c r="S444" s="6">
        <v>21</v>
      </c>
      <c r="T444" s="6">
        <v>502.72242673664647</v>
      </c>
      <c r="U444" s="6">
        <v>60484.492255792946</v>
      </c>
      <c r="V444" s="6">
        <v>60526.84640331578</v>
      </c>
      <c r="W444" s="4">
        <v>0</v>
      </c>
      <c r="X444" s="4">
        <v>0</v>
      </c>
      <c r="Y444" s="4">
        <v>0</v>
      </c>
      <c r="Z444" s="4" t="s">
        <v>1031</v>
      </c>
      <c r="AA444" s="4" t="s">
        <v>1032</v>
      </c>
    </row>
    <row r="445" ht="30" customHeight="1" spans="1:27" x14ac:dyDescent="0.25">
      <c r="A445" s="4" t="s">
        <v>146</v>
      </c>
      <c r="B445" s="4" t="s">
        <v>108</v>
      </c>
      <c r="C445" s="4">
        <v>10000</v>
      </c>
      <c r="D445" s="4" t="s">
        <v>109</v>
      </c>
      <c r="E445" s="4">
        <v>11</v>
      </c>
      <c r="F445" s="4">
        <v>625</v>
      </c>
      <c r="G445" s="4">
        <v>6964</v>
      </c>
      <c r="H445" s="4">
        <v>3530</v>
      </c>
      <c r="I445" s="4">
        <v>6340</v>
      </c>
      <c r="J445" s="5">
        <v>0</v>
      </c>
      <c r="K445" s="6">
        <v>502.11148000000003</v>
      </c>
      <c r="L445" s="6">
        <v>503.13209820000003</v>
      </c>
      <c r="M445" s="6">
        <v>511.17629465</v>
      </c>
      <c r="N445" s="6">
        <v>60483.9889045</v>
      </c>
      <c r="O445" s="6">
        <v>60485.330631599994</v>
      </c>
      <c r="P445" s="6">
        <v>60491.984796310004</v>
      </c>
      <c r="Q445" s="6">
        <v>20</v>
      </c>
      <c r="R445" s="6">
        <v>21</v>
      </c>
      <c r="S445" s="6">
        <v>21</v>
      </c>
      <c r="T445" s="6">
        <v>502.83489022731345</v>
      </c>
      <c r="U445" s="6">
        <v>60484.62726137381</v>
      </c>
      <c r="V445" s="6">
        <v>60527.77152523467</v>
      </c>
      <c r="W445" s="4">
        <v>0</v>
      </c>
      <c r="X445" s="4">
        <v>0</v>
      </c>
      <c r="Y445" s="4">
        <v>0</v>
      </c>
      <c r="Z445" s="4" t="s">
        <v>1033</v>
      </c>
      <c r="AA445" s="4" t="s">
        <v>1034</v>
      </c>
    </row>
    <row r="446" ht="30" customHeight="1" spans="1:27" x14ac:dyDescent="0.25">
      <c r="A446" s="4" t="s">
        <v>146</v>
      </c>
      <c r="B446" s="4" t="s">
        <v>108</v>
      </c>
      <c r="C446" s="4">
        <v>10000</v>
      </c>
      <c r="D446" s="4" t="s">
        <v>109</v>
      </c>
      <c r="E446" s="4">
        <v>12</v>
      </c>
      <c r="F446" s="4">
        <v>625</v>
      </c>
      <c r="G446" s="4">
        <v>6963</v>
      </c>
      <c r="H446" s="4">
        <v>3441</v>
      </c>
      <c r="I446" s="4">
        <v>6339</v>
      </c>
      <c r="J446" s="5">
        <v>0</v>
      </c>
      <c r="K446" s="6">
        <v>502.126072</v>
      </c>
      <c r="L446" s="6">
        <v>503.0992762</v>
      </c>
      <c r="M446" s="6">
        <v>511.53161522000005</v>
      </c>
      <c r="N446" s="6">
        <v>60483.975118</v>
      </c>
      <c r="O446" s="6">
        <v>60485.3230282</v>
      </c>
      <c r="P446" s="6">
        <v>60489.44050846</v>
      </c>
      <c r="Q446" s="6">
        <v>20</v>
      </c>
      <c r="R446" s="6">
        <v>21</v>
      </c>
      <c r="S446" s="6">
        <v>21</v>
      </c>
      <c r="T446" s="6">
        <v>502.5761140978026</v>
      </c>
      <c r="U446" s="6">
        <v>60484.30119411007</v>
      </c>
      <c r="V446" s="6">
        <v>60526.52267362316</v>
      </c>
      <c r="W446" s="4">
        <v>0</v>
      </c>
      <c r="X446" s="4">
        <v>0</v>
      </c>
      <c r="Y446" s="4">
        <v>0</v>
      </c>
      <c r="Z446" s="4" t="s">
        <v>1035</v>
      </c>
      <c r="AA446" s="4" t="s">
        <v>1036</v>
      </c>
    </row>
    <row r="447" ht="30" customHeight="1" spans="1:27" x14ac:dyDescent="0.25">
      <c r="A447" s="4" t="s">
        <v>146</v>
      </c>
      <c r="B447" s="4" t="s">
        <v>108</v>
      </c>
      <c r="C447" s="4">
        <v>10000</v>
      </c>
      <c r="D447" s="4" t="s">
        <v>109</v>
      </c>
      <c r="E447" s="4">
        <v>13</v>
      </c>
      <c r="F447" s="4">
        <v>625</v>
      </c>
      <c r="G447" s="4">
        <v>6964</v>
      </c>
      <c r="H447" s="4">
        <v>3502</v>
      </c>
      <c r="I447" s="4">
        <v>6340</v>
      </c>
      <c r="J447" s="5">
        <v>0</v>
      </c>
      <c r="K447" s="6">
        <v>502.15596</v>
      </c>
      <c r="L447" s="6">
        <v>503.18772559999996</v>
      </c>
      <c r="M447" s="6">
        <v>512.5816714599999</v>
      </c>
      <c r="N447" s="6">
        <v>60484.016719499996</v>
      </c>
      <c r="O447" s="6">
        <v>60485.3465302</v>
      </c>
      <c r="P447" s="6">
        <v>60492.4620443</v>
      </c>
      <c r="Q447" s="6">
        <v>20</v>
      </c>
      <c r="R447" s="6">
        <v>21</v>
      </c>
      <c r="S447" s="6">
        <v>21</v>
      </c>
      <c r="T447" s="6">
        <v>502.85631583558273</v>
      </c>
      <c r="U447" s="6">
        <v>60484.618927197494</v>
      </c>
      <c r="V447" s="6">
        <v>60527.038400206824</v>
      </c>
      <c r="W447" s="4">
        <v>0</v>
      </c>
      <c r="X447" s="4">
        <v>0</v>
      </c>
      <c r="Y447" s="4">
        <v>0</v>
      </c>
      <c r="Z447" s="4" t="s">
        <v>1037</v>
      </c>
      <c r="AA447" s="4" t="s">
        <v>1038</v>
      </c>
    </row>
    <row r="448" ht="30" customHeight="1" spans="1:27" x14ac:dyDescent="0.25">
      <c r="A448" s="4" t="s">
        <v>146</v>
      </c>
      <c r="B448" s="4" t="s">
        <v>108</v>
      </c>
      <c r="C448" s="4">
        <v>10000</v>
      </c>
      <c r="D448" s="4" t="s">
        <v>109</v>
      </c>
      <c r="E448" s="4">
        <v>14</v>
      </c>
      <c r="F448" s="4">
        <v>625</v>
      </c>
      <c r="G448" s="4">
        <v>6963</v>
      </c>
      <c r="H448" s="4">
        <v>3537</v>
      </c>
      <c r="I448" s="4">
        <v>6339</v>
      </c>
      <c r="J448" s="5">
        <v>0</v>
      </c>
      <c r="K448" s="6">
        <v>502.129896</v>
      </c>
      <c r="L448" s="6">
        <v>503.0993618</v>
      </c>
      <c r="M448" s="6">
        <v>511.37785442</v>
      </c>
      <c r="N448" s="6">
        <v>60483.990926</v>
      </c>
      <c r="O448" s="6">
        <v>60485.3057998</v>
      </c>
      <c r="P448" s="6">
        <v>60493.63080728</v>
      </c>
      <c r="Q448" s="6">
        <v>20</v>
      </c>
      <c r="R448" s="6">
        <v>21</v>
      </c>
      <c r="S448" s="6">
        <v>21</v>
      </c>
      <c r="T448" s="6">
        <v>502.729242661784</v>
      </c>
      <c r="U448" s="6">
        <v>60484.52891066227</v>
      </c>
      <c r="V448" s="6">
        <v>60528.154818979914</v>
      </c>
      <c r="W448" s="4">
        <v>0</v>
      </c>
      <c r="X448" s="4">
        <v>0</v>
      </c>
      <c r="Y448" s="4">
        <v>0</v>
      </c>
      <c r="Z448" s="4" t="s">
        <v>1039</v>
      </c>
      <c r="AA448" s="4" t="s">
        <v>1040</v>
      </c>
    </row>
    <row r="449" ht="30" customHeight="1" spans="1:27" x14ac:dyDescent="0.25">
      <c r="A449" s="4" t="s">
        <v>146</v>
      </c>
      <c r="B449" s="4" t="s">
        <v>108</v>
      </c>
      <c r="C449" s="4">
        <v>10000</v>
      </c>
      <c r="D449" s="4" t="s">
        <v>109</v>
      </c>
      <c r="E449" s="4">
        <v>15</v>
      </c>
      <c r="F449" s="4">
        <v>625</v>
      </c>
      <c r="G449" s="4">
        <v>6961</v>
      </c>
      <c r="H449" s="4">
        <v>3420</v>
      </c>
      <c r="I449" s="4">
        <v>6337</v>
      </c>
      <c r="J449" s="5">
        <v>0</v>
      </c>
      <c r="K449" s="6">
        <v>502.125479</v>
      </c>
      <c r="L449" s="6">
        <v>503.157437</v>
      </c>
      <c r="M449" s="6">
        <v>517.0929713999998</v>
      </c>
      <c r="N449" s="6">
        <v>60483.979558</v>
      </c>
      <c r="O449" s="6">
        <v>60485.315668</v>
      </c>
      <c r="P449" s="6">
        <v>60494.1298136</v>
      </c>
      <c r="Q449" s="6">
        <v>20</v>
      </c>
      <c r="R449" s="6">
        <v>21</v>
      </c>
      <c r="S449" s="6">
        <v>21</v>
      </c>
      <c r="T449" s="6">
        <v>502.8104468646726</v>
      </c>
      <c r="U449" s="6">
        <v>60484.502879668325</v>
      </c>
      <c r="V449" s="6">
        <v>60526.94457623846</v>
      </c>
      <c r="W449" s="4">
        <v>0</v>
      </c>
      <c r="X449" s="4">
        <v>0</v>
      </c>
      <c r="Y449" s="4">
        <v>0</v>
      </c>
      <c r="Z449" s="4" t="s">
        <v>1041</v>
      </c>
      <c r="AA449" s="4" t="s">
        <v>1042</v>
      </c>
    </row>
    <row r="450" ht="30" customHeight="1" spans="1:27" x14ac:dyDescent="0.25">
      <c r="A450" s="4" t="s">
        <v>146</v>
      </c>
      <c r="B450" s="4" t="s">
        <v>108</v>
      </c>
      <c r="C450" s="4">
        <v>15000</v>
      </c>
      <c r="D450" s="4" t="s">
        <v>109</v>
      </c>
      <c r="E450" s="4">
        <v>0</v>
      </c>
      <c r="F450" s="4">
        <v>938</v>
      </c>
      <c r="G450" s="4">
        <v>10452</v>
      </c>
      <c r="H450" s="4">
        <v>5313</v>
      </c>
      <c r="I450" s="4">
        <v>9514</v>
      </c>
      <c r="J450" s="5">
        <v>0</v>
      </c>
      <c r="K450" s="6">
        <v>502.247017</v>
      </c>
      <c r="L450" s="6">
        <v>505.8632478</v>
      </c>
      <c r="M450" s="6">
        <v>538.26865571</v>
      </c>
      <c r="N450" s="6">
        <v>60484.09334000001</v>
      </c>
      <c r="O450" s="6">
        <v>60487.093937599995</v>
      </c>
      <c r="P450" s="6">
        <v>60509.78683417</v>
      </c>
      <c r="Q450" s="6">
        <v>20</v>
      </c>
      <c r="R450" s="6">
        <v>21</v>
      </c>
      <c r="S450" s="6">
        <v>21</v>
      </c>
      <c r="T450" s="6">
        <v>504.30688063652775</v>
      </c>
      <c r="U450" s="6">
        <v>60485.6710905085</v>
      </c>
      <c r="V450" s="6">
        <v>60524.297174535764</v>
      </c>
      <c r="W450" s="4">
        <v>0</v>
      </c>
      <c r="X450" s="4">
        <v>0</v>
      </c>
      <c r="Y450" s="4">
        <v>0</v>
      </c>
      <c r="Z450" s="4" t="s">
        <v>1043</v>
      </c>
      <c r="AA450" s="4" t="s">
        <v>1044</v>
      </c>
    </row>
    <row r="451" ht="30" customHeight="1" spans="1:27" x14ac:dyDescent="0.25">
      <c r="A451" s="4" t="s">
        <v>146</v>
      </c>
      <c r="B451" s="4" t="s">
        <v>108</v>
      </c>
      <c r="C451" s="4">
        <v>15000</v>
      </c>
      <c r="D451" s="4" t="s">
        <v>109</v>
      </c>
      <c r="E451" s="4">
        <v>1</v>
      </c>
      <c r="F451" s="4">
        <v>938</v>
      </c>
      <c r="G451" s="4">
        <v>10450</v>
      </c>
      <c r="H451" s="4">
        <v>5218</v>
      </c>
      <c r="I451" s="4">
        <v>9512</v>
      </c>
      <c r="J451" s="5">
        <v>0</v>
      </c>
      <c r="K451" s="6">
        <v>502.2027645</v>
      </c>
      <c r="L451" s="6">
        <v>505.202596</v>
      </c>
      <c r="M451" s="6">
        <v>547.17088384</v>
      </c>
      <c r="N451" s="6">
        <v>60484.0707365</v>
      </c>
      <c r="O451" s="6">
        <v>60486.9245868</v>
      </c>
      <c r="P451" s="6">
        <v>60512.82937488</v>
      </c>
      <c r="Q451" s="6">
        <v>20</v>
      </c>
      <c r="R451" s="6">
        <v>21</v>
      </c>
      <c r="S451" s="6">
        <v>21</v>
      </c>
      <c r="T451" s="6">
        <v>504.55054534861273</v>
      </c>
      <c r="U451" s="6">
        <v>60485.81762251912</v>
      </c>
      <c r="V451" s="6">
        <v>60525.04933667932</v>
      </c>
      <c r="W451" s="4">
        <v>0</v>
      </c>
      <c r="X451" s="4">
        <v>0</v>
      </c>
      <c r="Y451" s="4">
        <v>0</v>
      </c>
      <c r="Z451" s="4" t="s">
        <v>1045</v>
      </c>
      <c r="AA451" s="4" t="s">
        <v>1046</v>
      </c>
    </row>
    <row r="452" ht="30" customHeight="1" spans="1:27" x14ac:dyDescent="0.25">
      <c r="A452" s="4" t="s">
        <v>146</v>
      </c>
      <c r="B452" s="4" t="s">
        <v>108</v>
      </c>
      <c r="C452" s="4">
        <v>15000</v>
      </c>
      <c r="D452" s="4" t="s">
        <v>109</v>
      </c>
      <c r="E452" s="4">
        <v>2</v>
      </c>
      <c r="F452" s="4">
        <v>938</v>
      </c>
      <c r="G452" s="4">
        <v>10451</v>
      </c>
      <c r="H452" s="4">
        <v>5263</v>
      </c>
      <c r="I452" s="4">
        <v>9514</v>
      </c>
      <c r="J452" s="5">
        <v>0</v>
      </c>
      <c r="K452" s="6">
        <v>502.199076</v>
      </c>
      <c r="L452" s="6">
        <v>504.817172</v>
      </c>
      <c r="M452" s="6">
        <v>538.9915025</v>
      </c>
      <c r="N452" s="6">
        <v>60484.066497</v>
      </c>
      <c r="O452" s="6">
        <v>60486.722793</v>
      </c>
      <c r="P452" s="6">
        <v>60510.399507</v>
      </c>
      <c r="Q452" s="6">
        <v>20</v>
      </c>
      <c r="R452" s="6">
        <v>21</v>
      </c>
      <c r="S452" s="6">
        <v>21</v>
      </c>
      <c r="T452" s="6">
        <v>504.3429340424861</v>
      </c>
      <c r="U452" s="6">
        <v>60485.79769056032</v>
      </c>
      <c r="V452" s="6">
        <v>60523.71989354311</v>
      </c>
      <c r="W452" s="4">
        <v>0</v>
      </c>
      <c r="X452" s="4">
        <v>0</v>
      </c>
      <c r="Y452" s="4">
        <v>0</v>
      </c>
      <c r="Z452" s="4" t="s">
        <v>1047</v>
      </c>
      <c r="AA452" s="4" t="s">
        <v>1048</v>
      </c>
    </row>
    <row r="453" ht="30" customHeight="1" spans="1:27" x14ac:dyDescent="0.25">
      <c r="A453" s="4" t="s">
        <v>146</v>
      </c>
      <c r="B453" s="4" t="s">
        <v>108</v>
      </c>
      <c r="C453" s="4">
        <v>15000</v>
      </c>
      <c r="D453" s="4" t="s">
        <v>109</v>
      </c>
      <c r="E453" s="4">
        <v>3</v>
      </c>
      <c r="F453" s="4">
        <v>938</v>
      </c>
      <c r="G453" s="4">
        <v>10451</v>
      </c>
      <c r="H453" s="4">
        <v>5280</v>
      </c>
      <c r="I453" s="4">
        <v>9517</v>
      </c>
      <c r="J453" s="5">
        <v>0</v>
      </c>
      <c r="K453" s="6">
        <v>502.244632</v>
      </c>
      <c r="L453" s="6">
        <v>505.494337</v>
      </c>
      <c r="M453" s="6">
        <v>540.8503225</v>
      </c>
      <c r="N453" s="6">
        <v>60484.057856</v>
      </c>
      <c r="O453" s="6">
        <v>60487.138804</v>
      </c>
      <c r="P453" s="6">
        <v>60511.5620715</v>
      </c>
      <c r="Q453" s="6">
        <v>20</v>
      </c>
      <c r="R453" s="6">
        <v>21</v>
      </c>
      <c r="S453" s="6">
        <v>21</v>
      </c>
      <c r="T453" s="6">
        <v>504.22472944330724</v>
      </c>
      <c r="U453" s="6">
        <v>60485.62988837593</v>
      </c>
      <c r="V453" s="6">
        <v>60523.74871751613</v>
      </c>
      <c r="W453" s="4">
        <v>0</v>
      </c>
      <c r="X453" s="4">
        <v>0</v>
      </c>
      <c r="Y453" s="4">
        <v>0</v>
      </c>
      <c r="Z453" s="4" t="s">
        <v>1049</v>
      </c>
      <c r="AA453" s="4" t="s">
        <v>1050</v>
      </c>
    </row>
    <row r="454" ht="30" customHeight="1" spans="1:27" x14ac:dyDescent="0.25">
      <c r="A454" s="4" t="s">
        <v>146</v>
      </c>
      <c r="B454" s="4" t="s">
        <v>108</v>
      </c>
      <c r="C454" s="4">
        <v>15000</v>
      </c>
      <c r="D454" s="4" t="s">
        <v>109</v>
      </c>
      <c r="E454" s="4">
        <v>4</v>
      </c>
      <c r="F454" s="4">
        <v>938</v>
      </c>
      <c r="G454" s="4">
        <v>10450</v>
      </c>
      <c r="H454" s="4">
        <v>5212</v>
      </c>
      <c r="I454" s="4">
        <v>9513</v>
      </c>
      <c r="J454" s="5">
        <v>0</v>
      </c>
      <c r="K454" s="6">
        <v>502.201733</v>
      </c>
      <c r="L454" s="6">
        <v>504.66052149999996</v>
      </c>
      <c r="M454" s="6">
        <v>536.7007364</v>
      </c>
      <c r="N454" s="6">
        <v>60484.0799595</v>
      </c>
      <c r="O454" s="6">
        <v>60486.473830999996</v>
      </c>
      <c r="P454" s="6">
        <v>60509.41378865</v>
      </c>
      <c r="Q454" s="6">
        <v>20</v>
      </c>
      <c r="R454" s="6">
        <v>21</v>
      </c>
      <c r="S454" s="6">
        <v>21</v>
      </c>
      <c r="T454" s="6">
        <v>503.9207400110047</v>
      </c>
      <c r="U454" s="6">
        <v>60485.387919726825</v>
      </c>
      <c r="V454" s="6">
        <v>60524.369438148984</v>
      </c>
      <c r="W454" s="4">
        <v>0</v>
      </c>
      <c r="X454" s="4">
        <v>0</v>
      </c>
      <c r="Y454" s="4">
        <v>0</v>
      </c>
      <c r="Z454" s="4" t="s">
        <v>1051</v>
      </c>
      <c r="AA454" s="4" t="s">
        <v>1052</v>
      </c>
    </row>
    <row r="455" ht="30" customHeight="1" spans="1:27" x14ac:dyDescent="0.25">
      <c r="A455" s="4" t="s">
        <v>146</v>
      </c>
      <c r="B455" s="4" t="s">
        <v>108</v>
      </c>
      <c r="C455" s="4">
        <v>15000</v>
      </c>
      <c r="D455" s="4" t="s">
        <v>109</v>
      </c>
      <c r="E455" s="4">
        <v>5</v>
      </c>
      <c r="F455" s="4">
        <v>938</v>
      </c>
      <c r="G455" s="4">
        <v>10454</v>
      </c>
      <c r="H455" s="4">
        <v>5203</v>
      </c>
      <c r="I455" s="4">
        <v>9516</v>
      </c>
      <c r="J455" s="5">
        <v>0</v>
      </c>
      <c r="K455" s="6">
        <v>502.20245350000005</v>
      </c>
      <c r="L455" s="6">
        <v>504.5414018</v>
      </c>
      <c r="M455" s="6">
        <v>540.50136764</v>
      </c>
      <c r="N455" s="6">
        <v>60484.067142</v>
      </c>
      <c r="O455" s="6">
        <v>60486.5704709</v>
      </c>
      <c r="P455" s="6">
        <v>60507.68569174</v>
      </c>
      <c r="Q455" s="6">
        <v>20</v>
      </c>
      <c r="R455" s="6">
        <v>21</v>
      </c>
      <c r="S455" s="6">
        <v>21</v>
      </c>
      <c r="T455" s="6">
        <v>504.09974736502824</v>
      </c>
      <c r="U455" s="6">
        <v>60485.510751274</v>
      </c>
      <c r="V455" s="6">
        <v>60524.298499729564</v>
      </c>
      <c r="W455" s="4">
        <v>0</v>
      </c>
      <c r="X455" s="4">
        <v>0</v>
      </c>
      <c r="Y455" s="4">
        <v>0</v>
      </c>
      <c r="Z455" s="4" t="s">
        <v>1053</v>
      </c>
      <c r="AA455" s="4" t="s">
        <v>1054</v>
      </c>
    </row>
    <row r="456" ht="30" customHeight="1" spans="1:27" x14ac:dyDescent="0.25">
      <c r="A456" s="4" t="s">
        <v>146</v>
      </c>
      <c r="B456" s="4" t="s">
        <v>108</v>
      </c>
      <c r="C456" s="4">
        <v>15000</v>
      </c>
      <c r="D456" s="4" t="s">
        <v>109</v>
      </c>
      <c r="E456" s="4">
        <v>6</v>
      </c>
      <c r="F456" s="4">
        <v>938</v>
      </c>
      <c r="G456" s="4">
        <v>10454</v>
      </c>
      <c r="H456" s="4">
        <v>5196</v>
      </c>
      <c r="I456" s="4">
        <v>9516</v>
      </c>
      <c r="J456" s="5">
        <v>0</v>
      </c>
      <c r="K456" s="6">
        <v>502.2312005</v>
      </c>
      <c r="L456" s="6">
        <v>504.9452497</v>
      </c>
      <c r="M456" s="6">
        <v>544.1906732199999</v>
      </c>
      <c r="N456" s="6">
        <v>60484.0448975</v>
      </c>
      <c r="O456" s="6">
        <v>60486.702727799995</v>
      </c>
      <c r="P456" s="6">
        <v>60508.972163290004</v>
      </c>
      <c r="Q456" s="6">
        <v>20</v>
      </c>
      <c r="R456" s="6">
        <v>21</v>
      </c>
      <c r="S456" s="6">
        <v>21</v>
      </c>
      <c r="T456" s="6">
        <v>504.1647783853078</v>
      </c>
      <c r="U456" s="6">
        <v>60485.523280213114</v>
      </c>
      <c r="V456" s="6">
        <v>60523.08610958084</v>
      </c>
      <c r="W456" s="4">
        <v>0</v>
      </c>
      <c r="X456" s="4">
        <v>0</v>
      </c>
      <c r="Y456" s="4">
        <v>0</v>
      </c>
      <c r="Z456" s="4" t="s">
        <v>1055</v>
      </c>
      <c r="AA456" s="4" t="s">
        <v>1056</v>
      </c>
    </row>
    <row r="457" ht="30" customHeight="1" spans="1:27" x14ac:dyDescent="0.25">
      <c r="A457" s="4" t="s">
        <v>146</v>
      </c>
      <c r="B457" s="4" t="s">
        <v>108</v>
      </c>
      <c r="C457" s="4">
        <v>15000</v>
      </c>
      <c r="D457" s="4" t="s">
        <v>109</v>
      </c>
      <c r="E457" s="4">
        <v>7</v>
      </c>
      <c r="F457" s="4">
        <v>938</v>
      </c>
      <c r="G457" s="4">
        <v>10451</v>
      </c>
      <c r="H457" s="4">
        <v>5191</v>
      </c>
      <c r="I457" s="4">
        <v>9517</v>
      </c>
      <c r="J457" s="5">
        <v>0</v>
      </c>
      <c r="K457" s="6">
        <v>502.191477</v>
      </c>
      <c r="L457" s="6">
        <v>504.641303</v>
      </c>
      <c r="M457" s="6">
        <v>541.4162080000001</v>
      </c>
      <c r="N457" s="6">
        <v>60484.0732</v>
      </c>
      <c r="O457" s="6">
        <v>60486.747985</v>
      </c>
      <c r="P457" s="6">
        <v>60512.062136</v>
      </c>
      <c r="Q457" s="6">
        <v>20</v>
      </c>
      <c r="R457" s="6">
        <v>21</v>
      </c>
      <c r="S457" s="6">
        <v>21</v>
      </c>
      <c r="T457" s="6">
        <v>504.09230686278886</v>
      </c>
      <c r="U457" s="6">
        <v>60485.614514589826</v>
      </c>
      <c r="V457" s="6">
        <v>60524.563501061864</v>
      </c>
      <c r="W457" s="4">
        <v>0</v>
      </c>
      <c r="X457" s="4">
        <v>0</v>
      </c>
      <c r="Y457" s="4">
        <v>0</v>
      </c>
      <c r="Z457" s="4" t="s">
        <v>1057</v>
      </c>
      <c r="AA457" s="4" t="s">
        <v>1058</v>
      </c>
    </row>
    <row r="458" ht="30" customHeight="1" spans="1:27" x14ac:dyDescent="0.25">
      <c r="A458" s="4" t="s">
        <v>146</v>
      </c>
      <c r="B458" s="4" t="s">
        <v>108</v>
      </c>
      <c r="C458" s="4">
        <v>15000</v>
      </c>
      <c r="D458" s="4" t="s">
        <v>109</v>
      </c>
      <c r="E458" s="4">
        <v>8</v>
      </c>
      <c r="F458" s="4">
        <v>937</v>
      </c>
      <c r="G458" s="4">
        <v>10441</v>
      </c>
      <c r="H458" s="4">
        <v>5183</v>
      </c>
      <c r="I458" s="4">
        <v>9506</v>
      </c>
      <c r="J458" s="5">
        <v>0</v>
      </c>
      <c r="K458" s="6">
        <v>502.218374</v>
      </c>
      <c r="L458" s="6">
        <v>505.324939</v>
      </c>
      <c r="M458" s="6">
        <v>538.6472070000001</v>
      </c>
      <c r="N458" s="6">
        <v>60484.048347</v>
      </c>
      <c r="O458" s="6">
        <v>60487.162161</v>
      </c>
      <c r="P458" s="6">
        <v>60511.7054628</v>
      </c>
      <c r="Q458" s="6">
        <v>20</v>
      </c>
      <c r="R458" s="6">
        <v>21</v>
      </c>
      <c r="S458" s="6">
        <v>21</v>
      </c>
      <c r="T458" s="6">
        <v>504.07969527506987</v>
      </c>
      <c r="U458" s="6">
        <v>60485.59008627917</v>
      </c>
      <c r="V458" s="6">
        <v>60523.250743313605</v>
      </c>
      <c r="W458" s="4">
        <v>0</v>
      </c>
      <c r="X458" s="4">
        <v>0</v>
      </c>
      <c r="Y458" s="4">
        <v>0</v>
      </c>
      <c r="Z458" s="4" t="s">
        <v>1059</v>
      </c>
      <c r="AA458" s="4" t="s">
        <v>1060</v>
      </c>
    </row>
    <row r="459" ht="30" customHeight="1" spans="1:27" x14ac:dyDescent="0.25">
      <c r="A459" s="4" t="s">
        <v>146</v>
      </c>
      <c r="B459" s="4" t="s">
        <v>108</v>
      </c>
      <c r="C459" s="4">
        <v>15000</v>
      </c>
      <c r="D459" s="4" t="s">
        <v>109</v>
      </c>
      <c r="E459" s="4">
        <v>9</v>
      </c>
      <c r="F459" s="4">
        <v>937</v>
      </c>
      <c r="G459" s="4">
        <v>10440</v>
      </c>
      <c r="H459" s="4">
        <v>5222</v>
      </c>
      <c r="I459" s="4">
        <v>9502</v>
      </c>
      <c r="J459" s="5">
        <v>0</v>
      </c>
      <c r="K459" s="6">
        <v>502.2115585</v>
      </c>
      <c r="L459" s="6">
        <v>504.7633503</v>
      </c>
      <c r="M459" s="6">
        <v>534.0720146500001</v>
      </c>
      <c r="N459" s="6">
        <v>60484.032309500006</v>
      </c>
      <c r="O459" s="6">
        <v>60486.6273834</v>
      </c>
      <c r="P459" s="6">
        <v>60507.4532627</v>
      </c>
      <c r="Q459" s="6">
        <v>20</v>
      </c>
      <c r="R459" s="6">
        <v>21</v>
      </c>
      <c r="S459" s="6">
        <v>21</v>
      </c>
      <c r="T459" s="6">
        <v>503.83287051944757</v>
      </c>
      <c r="U459" s="6">
        <v>60485.32279843549</v>
      </c>
      <c r="V459" s="6">
        <v>60522.896047820934</v>
      </c>
      <c r="W459" s="4">
        <v>0</v>
      </c>
      <c r="X459" s="4">
        <v>0</v>
      </c>
      <c r="Y459" s="4">
        <v>0</v>
      </c>
      <c r="Z459" s="4" t="s">
        <v>1061</v>
      </c>
      <c r="AA459" s="4" t="s">
        <v>1062</v>
      </c>
    </row>
    <row r="460" ht="30" customHeight="1" spans="1:27" x14ac:dyDescent="0.25">
      <c r="A460" s="4" t="s">
        <v>146</v>
      </c>
      <c r="B460" s="4" t="s">
        <v>108</v>
      </c>
      <c r="C460" s="4">
        <v>15000</v>
      </c>
      <c r="D460" s="4" t="s">
        <v>109</v>
      </c>
      <c r="E460" s="4">
        <v>10</v>
      </c>
      <c r="F460" s="4">
        <v>937</v>
      </c>
      <c r="G460" s="4">
        <v>10438</v>
      </c>
      <c r="H460" s="4">
        <v>5235</v>
      </c>
      <c r="I460" s="4">
        <v>9504</v>
      </c>
      <c r="J460" s="5">
        <v>0</v>
      </c>
      <c r="K460" s="6">
        <v>502.1829955</v>
      </c>
      <c r="L460" s="6">
        <v>505.0760475</v>
      </c>
      <c r="M460" s="6">
        <v>538.89770291</v>
      </c>
      <c r="N460" s="6">
        <v>60484.066162999996</v>
      </c>
      <c r="O460" s="6">
        <v>60486.5688173</v>
      </c>
      <c r="P460" s="6">
        <v>60511.05249021</v>
      </c>
      <c r="Q460" s="6">
        <v>20</v>
      </c>
      <c r="R460" s="6">
        <v>21</v>
      </c>
      <c r="S460" s="6">
        <v>21</v>
      </c>
      <c r="T460" s="6">
        <v>504.2512510460819</v>
      </c>
      <c r="U460" s="6">
        <v>60485.64114805107</v>
      </c>
      <c r="V460" s="6">
        <v>60524.65971437385</v>
      </c>
      <c r="W460" s="4">
        <v>0</v>
      </c>
      <c r="X460" s="4">
        <v>0</v>
      </c>
      <c r="Y460" s="4">
        <v>0</v>
      </c>
      <c r="Z460" s="4" t="s">
        <v>1063</v>
      </c>
      <c r="AA460" s="4" t="s">
        <v>1064</v>
      </c>
    </row>
    <row r="461" ht="30" customHeight="1" spans="1:27" x14ac:dyDescent="0.25">
      <c r="A461" s="4" t="s">
        <v>146</v>
      </c>
      <c r="B461" s="4" t="s">
        <v>108</v>
      </c>
      <c r="C461" s="4">
        <v>15000</v>
      </c>
      <c r="D461" s="4" t="s">
        <v>109</v>
      </c>
      <c r="E461" s="4">
        <v>11</v>
      </c>
      <c r="F461" s="4">
        <v>937</v>
      </c>
      <c r="G461" s="4">
        <v>10439</v>
      </c>
      <c r="H461" s="4">
        <v>5192</v>
      </c>
      <c r="I461" s="4">
        <v>9506</v>
      </c>
      <c r="J461" s="5">
        <v>0</v>
      </c>
      <c r="K461" s="6">
        <v>502.238091</v>
      </c>
      <c r="L461" s="6">
        <v>505.0975926</v>
      </c>
      <c r="M461" s="6">
        <v>539.34522474</v>
      </c>
      <c r="N461" s="6">
        <v>60484.06742</v>
      </c>
      <c r="O461" s="6">
        <v>60486.8225588</v>
      </c>
      <c r="P461" s="6">
        <v>60512.26909612</v>
      </c>
      <c r="Q461" s="6">
        <v>20</v>
      </c>
      <c r="R461" s="6">
        <v>21</v>
      </c>
      <c r="S461" s="6">
        <v>21</v>
      </c>
      <c r="T461" s="6">
        <v>504.0237950833412</v>
      </c>
      <c r="U461" s="6">
        <v>60485.52648644237</v>
      </c>
      <c r="V461" s="6">
        <v>60523.26913897726</v>
      </c>
      <c r="W461" s="4">
        <v>0</v>
      </c>
      <c r="X461" s="4">
        <v>0</v>
      </c>
      <c r="Y461" s="4">
        <v>0</v>
      </c>
      <c r="Z461" s="4" t="s">
        <v>1065</v>
      </c>
      <c r="AA461" s="4" t="s">
        <v>1066</v>
      </c>
    </row>
    <row r="462" ht="30" customHeight="1" spans="1:27" x14ac:dyDescent="0.25">
      <c r="A462" s="4" t="s">
        <v>146</v>
      </c>
      <c r="B462" s="4" t="s">
        <v>108</v>
      </c>
      <c r="C462" s="4">
        <v>15000</v>
      </c>
      <c r="D462" s="4" t="s">
        <v>109</v>
      </c>
      <c r="E462" s="4">
        <v>12</v>
      </c>
      <c r="F462" s="4">
        <v>937</v>
      </c>
      <c r="G462" s="4">
        <v>10439</v>
      </c>
      <c r="H462" s="4">
        <v>5250</v>
      </c>
      <c r="I462" s="4">
        <v>9502</v>
      </c>
      <c r="J462" s="5">
        <v>0</v>
      </c>
      <c r="K462" s="6">
        <v>502.195296</v>
      </c>
      <c r="L462" s="6">
        <v>504.54245960000003</v>
      </c>
      <c r="M462" s="6">
        <v>539.0050404200002</v>
      </c>
      <c r="N462" s="6">
        <v>60484.090272</v>
      </c>
      <c r="O462" s="6">
        <v>60486.7684142</v>
      </c>
      <c r="P462" s="6">
        <v>60512.9627823</v>
      </c>
      <c r="Q462" s="6">
        <v>20</v>
      </c>
      <c r="R462" s="6">
        <v>21</v>
      </c>
      <c r="S462" s="6">
        <v>21</v>
      </c>
      <c r="T462" s="6">
        <v>503.92915910422755</v>
      </c>
      <c r="U462" s="6">
        <v>60485.53655371518</v>
      </c>
      <c r="V462" s="6">
        <v>60524.92300996072</v>
      </c>
      <c r="W462" s="4">
        <v>0</v>
      </c>
      <c r="X462" s="4">
        <v>0</v>
      </c>
      <c r="Y462" s="4">
        <v>0</v>
      </c>
      <c r="Z462" s="4" t="s">
        <v>1067</v>
      </c>
      <c r="AA462" s="4" t="s">
        <v>1068</v>
      </c>
    </row>
    <row r="463" ht="30" customHeight="1" spans="1:27" x14ac:dyDescent="0.25">
      <c r="A463" s="4" t="s">
        <v>146</v>
      </c>
      <c r="B463" s="4" t="s">
        <v>108</v>
      </c>
      <c r="C463" s="4">
        <v>15000</v>
      </c>
      <c r="D463" s="4" t="s">
        <v>109</v>
      </c>
      <c r="E463" s="4">
        <v>13</v>
      </c>
      <c r="F463" s="4">
        <v>937</v>
      </c>
      <c r="G463" s="4">
        <v>10435</v>
      </c>
      <c r="H463" s="4">
        <v>5180</v>
      </c>
      <c r="I463" s="4">
        <v>9500</v>
      </c>
      <c r="J463" s="5">
        <v>0</v>
      </c>
      <c r="K463" s="6">
        <v>502.198768</v>
      </c>
      <c r="L463" s="6">
        <v>504.4720344</v>
      </c>
      <c r="M463" s="6">
        <v>547.27539454</v>
      </c>
      <c r="N463" s="6">
        <v>60484.06714</v>
      </c>
      <c r="O463" s="6">
        <v>60486.778129000006</v>
      </c>
      <c r="P463" s="6">
        <v>60512.41705826</v>
      </c>
      <c r="Q463" s="6">
        <v>20</v>
      </c>
      <c r="R463" s="6">
        <v>21</v>
      </c>
      <c r="S463" s="6">
        <v>21</v>
      </c>
      <c r="T463" s="6">
        <v>504.214085982175</v>
      </c>
      <c r="U463" s="6">
        <v>60485.698202949876</v>
      </c>
      <c r="V463" s="6">
        <v>60524.531569525585</v>
      </c>
      <c r="W463" s="4">
        <v>0</v>
      </c>
      <c r="X463" s="4">
        <v>0</v>
      </c>
      <c r="Y463" s="4">
        <v>0</v>
      </c>
      <c r="Z463" s="4" t="s">
        <v>1069</v>
      </c>
      <c r="AA463" s="4" t="s">
        <v>1070</v>
      </c>
    </row>
    <row r="464" ht="30" customHeight="1" spans="1:27" x14ac:dyDescent="0.25">
      <c r="A464" s="4" t="s">
        <v>146</v>
      </c>
      <c r="B464" s="4" t="s">
        <v>108</v>
      </c>
      <c r="C464" s="4">
        <v>15000</v>
      </c>
      <c r="D464" s="4" t="s">
        <v>109</v>
      </c>
      <c r="E464" s="4">
        <v>14</v>
      </c>
      <c r="F464" s="4">
        <v>937</v>
      </c>
      <c r="G464" s="4">
        <v>10442</v>
      </c>
      <c r="H464" s="4">
        <v>5194</v>
      </c>
      <c r="I464" s="4">
        <v>9505</v>
      </c>
      <c r="J464" s="5">
        <v>0</v>
      </c>
      <c r="K464" s="6">
        <v>502.208907</v>
      </c>
      <c r="L464" s="6">
        <v>504.66871150000003</v>
      </c>
      <c r="M464" s="6">
        <v>528.7632584600001</v>
      </c>
      <c r="N464" s="6">
        <v>60484.0380025</v>
      </c>
      <c r="O464" s="6">
        <v>60486.515194399995</v>
      </c>
      <c r="P464" s="6">
        <v>60506.74822001</v>
      </c>
      <c r="Q464" s="6">
        <v>20</v>
      </c>
      <c r="R464" s="6">
        <v>21</v>
      </c>
      <c r="S464" s="6">
        <v>21</v>
      </c>
      <c r="T464" s="6">
        <v>503.8256719047141</v>
      </c>
      <c r="U464" s="6">
        <v>60485.46345034281</v>
      </c>
      <c r="V464" s="6">
        <v>60522.78816073067</v>
      </c>
      <c r="W464" s="4">
        <v>0</v>
      </c>
      <c r="X464" s="4">
        <v>0</v>
      </c>
      <c r="Y464" s="4">
        <v>0</v>
      </c>
      <c r="Z464" s="4" t="s">
        <v>1071</v>
      </c>
      <c r="AA464" s="4" t="s">
        <v>1072</v>
      </c>
    </row>
    <row r="465" ht="30" customHeight="1" spans="1:27" x14ac:dyDescent="0.25">
      <c r="A465" s="4" t="s">
        <v>146</v>
      </c>
      <c r="B465" s="4" t="s">
        <v>108</v>
      </c>
      <c r="C465" s="4">
        <v>15000</v>
      </c>
      <c r="D465" s="4" t="s">
        <v>109</v>
      </c>
      <c r="E465" s="4">
        <v>15</v>
      </c>
      <c r="F465" s="4">
        <v>937</v>
      </c>
      <c r="G465" s="4">
        <v>10439</v>
      </c>
      <c r="H465" s="4">
        <v>5194</v>
      </c>
      <c r="I465" s="4">
        <v>9502</v>
      </c>
      <c r="J465" s="5">
        <v>0</v>
      </c>
      <c r="K465" s="6">
        <v>502.207009</v>
      </c>
      <c r="L465" s="6">
        <v>504.781402</v>
      </c>
      <c r="M465" s="6">
        <v>541.22190616</v>
      </c>
      <c r="N465" s="6">
        <v>60484.0747</v>
      </c>
      <c r="O465" s="6">
        <v>60486.9917394</v>
      </c>
      <c r="P465" s="6">
        <v>60513.20858872</v>
      </c>
      <c r="Q465" s="6">
        <v>20</v>
      </c>
      <c r="R465" s="6">
        <v>21</v>
      </c>
      <c r="S465" s="6">
        <v>21</v>
      </c>
      <c r="T465" s="6">
        <v>504.4136646010159</v>
      </c>
      <c r="U465" s="6">
        <v>60485.93282704397</v>
      </c>
      <c r="V465" s="6">
        <v>60524.99499122649</v>
      </c>
      <c r="W465" s="4">
        <v>0</v>
      </c>
      <c r="X465" s="4">
        <v>0</v>
      </c>
      <c r="Y465" s="4">
        <v>0</v>
      </c>
      <c r="Z465" s="4" t="s">
        <v>1073</v>
      </c>
      <c r="AA465" s="4" t="s">
        <v>1074</v>
      </c>
    </row>
    <row r="466" ht="30" customHeight="1" spans="1:27" x14ac:dyDescent="0.25">
      <c r="A466" s="4" t="s">
        <v>146</v>
      </c>
      <c r="B466" s="4" t="s">
        <v>108</v>
      </c>
      <c r="C466" s="4">
        <v>18000</v>
      </c>
      <c r="D466" s="4" t="s">
        <v>109</v>
      </c>
      <c r="E466" s="4">
        <v>0</v>
      </c>
      <c r="F466" s="4">
        <v>1125</v>
      </c>
      <c r="G466" s="4">
        <v>12526</v>
      </c>
      <c r="H466" s="4">
        <v>6183</v>
      </c>
      <c r="I466" s="4">
        <v>11404</v>
      </c>
      <c r="J466" s="5">
        <v>0</v>
      </c>
      <c r="K466" s="6">
        <v>514.1591295000001</v>
      </c>
      <c r="L466" s="6">
        <v>531.7229420000001</v>
      </c>
      <c r="M466" s="6">
        <v>594.03295</v>
      </c>
      <c r="N466" s="6">
        <v>60502.3023435</v>
      </c>
      <c r="O466" s="6">
        <v>60522.579824500004</v>
      </c>
      <c r="P466" s="6">
        <v>60563.6442785</v>
      </c>
      <c r="Q466" s="6">
        <v>20</v>
      </c>
      <c r="R466" s="6">
        <v>21</v>
      </c>
      <c r="S466" s="6">
        <v>21</v>
      </c>
      <c r="T466" s="6">
        <v>517.9132468495945</v>
      </c>
      <c r="U466" s="6">
        <v>60505.77918588297</v>
      </c>
      <c r="V466" s="6">
        <v>60544.29088278166</v>
      </c>
      <c r="W466" s="4">
        <v>0</v>
      </c>
      <c r="X466" s="4">
        <v>0</v>
      </c>
      <c r="Y466" s="4">
        <v>0</v>
      </c>
      <c r="Z466" s="4" t="s">
        <v>1075</v>
      </c>
      <c r="AA466" s="4" t="s">
        <v>1076</v>
      </c>
    </row>
    <row r="467" ht="30" customHeight="1" spans="1:27" x14ac:dyDescent="0.25">
      <c r="A467" s="4" t="s">
        <v>146</v>
      </c>
      <c r="B467" s="4" t="s">
        <v>108</v>
      </c>
      <c r="C467" s="4">
        <v>18000</v>
      </c>
      <c r="D467" s="4" t="s">
        <v>109</v>
      </c>
      <c r="E467" s="4">
        <v>1</v>
      </c>
      <c r="F467" s="4">
        <v>1125</v>
      </c>
      <c r="G467" s="4">
        <v>12526</v>
      </c>
      <c r="H467" s="4">
        <v>6312</v>
      </c>
      <c r="I467" s="4">
        <v>11404</v>
      </c>
      <c r="J467" s="5">
        <v>0</v>
      </c>
      <c r="K467" s="6">
        <v>514.5346675000001</v>
      </c>
      <c r="L467" s="6">
        <v>531.4303785</v>
      </c>
      <c r="M467" s="6">
        <v>594.94797675</v>
      </c>
      <c r="N467" s="6">
        <v>60502.692337500004</v>
      </c>
      <c r="O467" s="6">
        <v>60523.011378</v>
      </c>
      <c r="P467" s="6">
        <v>60561.28133725</v>
      </c>
      <c r="Q467" s="6">
        <v>20</v>
      </c>
      <c r="R467" s="6">
        <v>21</v>
      </c>
      <c r="S467" s="6">
        <v>21</v>
      </c>
      <c r="T467" s="6">
        <v>518.0693251312474</v>
      </c>
      <c r="U467" s="6">
        <v>60506.05121131739</v>
      </c>
      <c r="V467" s="6">
        <v>60544.50848429339</v>
      </c>
      <c r="W467" s="4">
        <v>0</v>
      </c>
      <c r="X467" s="4">
        <v>0</v>
      </c>
      <c r="Y467" s="4">
        <v>0</v>
      </c>
      <c r="Z467" s="4" t="s">
        <v>1077</v>
      </c>
      <c r="AA467" s="4" t="s">
        <v>1078</v>
      </c>
    </row>
    <row r="468" ht="30" customHeight="1" spans="1:27" x14ac:dyDescent="0.25">
      <c r="A468" s="4" t="s">
        <v>146</v>
      </c>
      <c r="B468" s="4" t="s">
        <v>108</v>
      </c>
      <c r="C468" s="4">
        <v>18000</v>
      </c>
      <c r="D468" s="4" t="s">
        <v>109</v>
      </c>
      <c r="E468" s="4">
        <v>2</v>
      </c>
      <c r="F468" s="4">
        <v>1125</v>
      </c>
      <c r="G468" s="4">
        <v>12530</v>
      </c>
      <c r="H468" s="4">
        <v>6239</v>
      </c>
      <c r="I468" s="4">
        <v>11408</v>
      </c>
      <c r="J468" s="5">
        <v>0</v>
      </c>
      <c r="K468" s="6">
        <v>514.16053</v>
      </c>
      <c r="L468" s="6">
        <v>531.0678455</v>
      </c>
      <c r="M468" s="6">
        <v>600.8103177099998</v>
      </c>
      <c r="N468" s="6">
        <v>60502.65608</v>
      </c>
      <c r="O468" s="6">
        <v>60522.7636518</v>
      </c>
      <c r="P468" s="6">
        <v>60565.940737900004</v>
      </c>
      <c r="Q468" s="6">
        <v>20</v>
      </c>
      <c r="R468" s="6">
        <v>21</v>
      </c>
      <c r="S468" s="6">
        <v>21</v>
      </c>
      <c r="T468" s="6">
        <v>518.0380096989613</v>
      </c>
      <c r="U468" s="6">
        <v>60506.0480709802</v>
      </c>
      <c r="V468" s="6">
        <v>60544.707177142736</v>
      </c>
      <c r="W468" s="4">
        <v>0</v>
      </c>
      <c r="X468" s="4">
        <v>0</v>
      </c>
      <c r="Y468" s="4">
        <v>0</v>
      </c>
      <c r="Z468" s="4" t="s">
        <v>1079</v>
      </c>
      <c r="AA468" s="4" t="s">
        <v>1080</v>
      </c>
    </row>
    <row r="469" ht="30" customHeight="1" spans="1:27" x14ac:dyDescent="0.25">
      <c r="A469" s="4" t="s">
        <v>146</v>
      </c>
      <c r="B469" s="4" t="s">
        <v>108</v>
      </c>
      <c r="C469" s="4">
        <v>18000</v>
      </c>
      <c r="D469" s="4" t="s">
        <v>109</v>
      </c>
      <c r="E469" s="4">
        <v>3</v>
      </c>
      <c r="F469" s="4">
        <v>1125</v>
      </c>
      <c r="G469" s="4">
        <v>12526</v>
      </c>
      <c r="H469" s="4">
        <v>6225</v>
      </c>
      <c r="I469" s="4">
        <v>11404</v>
      </c>
      <c r="J469" s="5">
        <v>0</v>
      </c>
      <c r="K469" s="6">
        <v>514.2633295</v>
      </c>
      <c r="L469" s="6">
        <v>531.0253485000001</v>
      </c>
      <c r="M469" s="6">
        <v>597.836111</v>
      </c>
      <c r="N469" s="6">
        <v>60502.37077</v>
      </c>
      <c r="O469" s="6">
        <v>60522.046044999996</v>
      </c>
      <c r="P469" s="6">
        <v>60559.388464999996</v>
      </c>
      <c r="Q469" s="6">
        <v>20</v>
      </c>
      <c r="R469" s="6">
        <v>21</v>
      </c>
      <c r="S469" s="6">
        <v>21</v>
      </c>
      <c r="T469" s="6">
        <v>517.9398225126146</v>
      </c>
      <c r="U469" s="6">
        <v>60505.59730014683</v>
      </c>
      <c r="V469" s="6">
        <v>60544.38231263369</v>
      </c>
      <c r="W469" s="4">
        <v>0</v>
      </c>
      <c r="X469" s="4">
        <v>0</v>
      </c>
      <c r="Y469" s="4">
        <v>0</v>
      </c>
      <c r="Z469" s="4" t="s">
        <v>1081</v>
      </c>
      <c r="AA469" s="4" t="s">
        <v>1082</v>
      </c>
    </row>
    <row r="470" ht="30" customHeight="1" spans="1:27" x14ac:dyDescent="0.25">
      <c r="A470" s="4" t="s">
        <v>146</v>
      </c>
      <c r="B470" s="4" t="s">
        <v>108</v>
      </c>
      <c r="C470" s="4">
        <v>18000</v>
      </c>
      <c r="D470" s="4" t="s">
        <v>109</v>
      </c>
      <c r="E470" s="4">
        <v>4</v>
      </c>
      <c r="F470" s="4">
        <v>1125</v>
      </c>
      <c r="G470" s="4">
        <v>12525</v>
      </c>
      <c r="H470" s="4">
        <v>6320</v>
      </c>
      <c r="I470" s="4">
        <v>11402</v>
      </c>
      <c r="J470" s="5">
        <v>0</v>
      </c>
      <c r="K470" s="6">
        <v>514.18177</v>
      </c>
      <c r="L470" s="6">
        <v>531.7109878</v>
      </c>
      <c r="M470" s="6">
        <v>602.3541132</v>
      </c>
      <c r="N470" s="6">
        <v>60502.912083</v>
      </c>
      <c r="O470" s="6">
        <v>60523.4119096</v>
      </c>
      <c r="P470" s="6">
        <v>60568.24643572</v>
      </c>
      <c r="Q470" s="6">
        <v>20</v>
      </c>
      <c r="R470" s="6">
        <v>21</v>
      </c>
      <c r="S470" s="6">
        <v>21</v>
      </c>
      <c r="T470" s="6">
        <v>518.0922454848723</v>
      </c>
      <c r="U470" s="6">
        <v>60506.28549124697</v>
      </c>
      <c r="V470" s="6">
        <v>60545.92368741195</v>
      </c>
      <c r="W470" s="4">
        <v>0</v>
      </c>
      <c r="X470" s="4">
        <v>0</v>
      </c>
      <c r="Y470" s="4">
        <v>0</v>
      </c>
      <c r="Z470" s="4" t="s">
        <v>1083</v>
      </c>
      <c r="AA470" s="4" t="s">
        <v>1084</v>
      </c>
    </row>
    <row r="471" ht="30" customHeight="1" spans="1:27" x14ac:dyDescent="0.25">
      <c r="A471" s="4" t="s">
        <v>146</v>
      </c>
      <c r="B471" s="4" t="s">
        <v>108</v>
      </c>
      <c r="C471" s="4">
        <v>18000</v>
      </c>
      <c r="D471" s="4" t="s">
        <v>109</v>
      </c>
      <c r="E471" s="4">
        <v>5</v>
      </c>
      <c r="F471" s="4">
        <v>1125</v>
      </c>
      <c r="G471" s="4">
        <v>12530</v>
      </c>
      <c r="H471" s="4">
        <v>6342</v>
      </c>
      <c r="I471" s="4">
        <v>11407</v>
      </c>
      <c r="J471" s="5">
        <v>0</v>
      </c>
      <c r="K471" s="6">
        <v>514.578278</v>
      </c>
      <c r="L471" s="6">
        <v>531.6779333</v>
      </c>
      <c r="M471" s="6">
        <v>583.8861723199994</v>
      </c>
      <c r="N471" s="6">
        <v>60502.8406325</v>
      </c>
      <c r="O471" s="6">
        <v>60522.68749130001</v>
      </c>
      <c r="P471" s="6">
        <v>60560.10909746</v>
      </c>
      <c r="Q471" s="6">
        <v>20</v>
      </c>
      <c r="R471" s="6">
        <v>21</v>
      </c>
      <c r="S471" s="6">
        <v>21</v>
      </c>
      <c r="T471" s="6">
        <v>518.0792888557038</v>
      </c>
      <c r="U471" s="6">
        <v>60506.04010465247</v>
      </c>
      <c r="V471" s="6">
        <v>60544.14986714394</v>
      </c>
      <c r="W471" s="4">
        <v>0</v>
      </c>
      <c r="X471" s="4">
        <v>0</v>
      </c>
      <c r="Y471" s="4">
        <v>0</v>
      </c>
      <c r="Z471" s="4" t="s">
        <v>1085</v>
      </c>
      <c r="AA471" s="4" t="s">
        <v>1086</v>
      </c>
    </row>
    <row r="472" ht="30" customHeight="1" spans="1:27" x14ac:dyDescent="0.25">
      <c r="A472" s="4" t="s">
        <v>146</v>
      </c>
      <c r="B472" s="4" t="s">
        <v>108</v>
      </c>
      <c r="C472" s="4">
        <v>18000</v>
      </c>
      <c r="D472" s="4" t="s">
        <v>109</v>
      </c>
      <c r="E472" s="4">
        <v>6</v>
      </c>
      <c r="F472" s="4">
        <v>1125</v>
      </c>
      <c r="G472" s="4">
        <v>12526</v>
      </c>
      <c r="H472" s="4">
        <v>6190</v>
      </c>
      <c r="I472" s="4">
        <v>11402</v>
      </c>
      <c r="J472" s="5">
        <v>0</v>
      </c>
      <c r="K472" s="6">
        <v>514.0648735</v>
      </c>
      <c r="L472" s="6">
        <v>530.5302095</v>
      </c>
      <c r="M472" s="6">
        <v>579.45611975</v>
      </c>
      <c r="N472" s="6">
        <v>60502.3791665</v>
      </c>
      <c r="O472" s="6">
        <v>60521.8120665</v>
      </c>
      <c r="P472" s="6">
        <v>60552.70504</v>
      </c>
      <c r="Q472" s="6">
        <v>20</v>
      </c>
      <c r="R472" s="6">
        <v>21</v>
      </c>
      <c r="S472" s="6">
        <v>21</v>
      </c>
      <c r="T472" s="6">
        <v>517.3829492883598</v>
      </c>
      <c r="U472" s="6">
        <v>60505.382709695856</v>
      </c>
      <c r="V472" s="6">
        <v>60543.364337054874</v>
      </c>
      <c r="W472" s="4">
        <v>0</v>
      </c>
      <c r="X472" s="4">
        <v>0</v>
      </c>
      <c r="Y472" s="4">
        <v>0</v>
      </c>
      <c r="Z472" s="4" t="s">
        <v>1087</v>
      </c>
      <c r="AA472" s="4" t="s">
        <v>1088</v>
      </c>
    </row>
    <row r="473" ht="30" customHeight="1" spans="1:27" x14ac:dyDescent="0.25">
      <c r="A473" s="4" t="s">
        <v>146</v>
      </c>
      <c r="B473" s="4" t="s">
        <v>108</v>
      </c>
      <c r="C473" s="4">
        <v>18000</v>
      </c>
      <c r="D473" s="4" t="s">
        <v>109</v>
      </c>
      <c r="E473" s="4">
        <v>7</v>
      </c>
      <c r="F473" s="4">
        <v>1125</v>
      </c>
      <c r="G473" s="4">
        <v>12526</v>
      </c>
      <c r="H473" s="4">
        <v>6195</v>
      </c>
      <c r="I473" s="4">
        <v>11403</v>
      </c>
      <c r="J473" s="5">
        <v>0</v>
      </c>
      <c r="K473" s="6">
        <v>514.4587509999999</v>
      </c>
      <c r="L473" s="6">
        <v>531.7560699999999</v>
      </c>
      <c r="M473" s="6">
        <v>590.7508295</v>
      </c>
      <c r="N473" s="6">
        <v>60502.775836</v>
      </c>
      <c r="O473" s="6">
        <v>60522.3097215</v>
      </c>
      <c r="P473" s="6">
        <v>60560.19763175</v>
      </c>
      <c r="Q473" s="6">
        <v>20</v>
      </c>
      <c r="R473" s="6">
        <v>21</v>
      </c>
      <c r="S473" s="6">
        <v>21</v>
      </c>
      <c r="T473" s="6">
        <v>518.2759172903553</v>
      </c>
      <c r="U473" s="6">
        <v>60506.18001213706</v>
      </c>
      <c r="V473" s="6">
        <v>60543.95960169022</v>
      </c>
      <c r="W473" s="4">
        <v>0</v>
      </c>
      <c r="X473" s="4">
        <v>0</v>
      </c>
      <c r="Y473" s="4">
        <v>0</v>
      </c>
      <c r="Z473" s="4" t="s">
        <v>1089</v>
      </c>
      <c r="AA473" s="4" t="s">
        <v>1090</v>
      </c>
    </row>
    <row r="474" ht="30" customHeight="1" spans="1:27" x14ac:dyDescent="0.25">
      <c r="A474" s="4" t="s">
        <v>146</v>
      </c>
      <c r="B474" s="4" t="s">
        <v>108</v>
      </c>
      <c r="C474" s="4">
        <v>18000</v>
      </c>
      <c r="D474" s="4" t="s">
        <v>109</v>
      </c>
      <c r="E474" s="4">
        <v>8</v>
      </c>
      <c r="F474" s="4">
        <v>1125</v>
      </c>
      <c r="G474" s="4">
        <v>12523</v>
      </c>
      <c r="H474" s="4">
        <v>6250</v>
      </c>
      <c r="I474" s="4">
        <v>11400</v>
      </c>
      <c r="J474" s="5">
        <v>0</v>
      </c>
      <c r="K474" s="6">
        <v>514.423562</v>
      </c>
      <c r="L474" s="6">
        <v>532.2282456</v>
      </c>
      <c r="M474" s="6">
        <v>603.7174454800002</v>
      </c>
      <c r="N474" s="6">
        <v>60502.61858</v>
      </c>
      <c r="O474" s="6">
        <v>60522.5918704</v>
      </c>
      <c r="P474" s="6">
        <v>60561.539776460006</v>
      </c>
      <c r="Q474" s="6">
        <v>20</v>
      </c>
      <c r="R474" s="6">
        <v>21</v>
      </c>
      <c r="S474" s="6">
        <v>21</v>
      </c>
      <c r="T474" s="6">
        <v>518.3489348599372</v>
      </c>
      <c r="U474" s="6">
        <v>60505.978313549145</v>
      </c>
      <c r="V474" s="6">
        <v>60544.39374336403</v>
      </c>
      <c r="W474" s="4">
        <v>0</v>
      </c>
      <c r="X474" s="4">
        <v>0</v>
      </c>
      <c r="Y474" s="4">
        <v>0</v>
      </c>
      <c r="Z474" s="4" t="s">
        <v>1091</v>
      </c>
      <c r="AA474" s="4" t="s">
        <v>1092</v>
      </c>
    </row>
    <row r="475" ht="30" customHeight="1" spans="1:27" x14ac:dyDescent="0.25">
      <c r="A475" s="4" t="s">
        <v>146</v>
      </c>
      <c r="B475" s="4" t="s">
        <v>108</v>
      </c>
      <c r="C475" s="4">
        <v>18000</v>
      </c>
      <c r="D475" s="4" t="s">
        <v>109</v>
      </c>
      <c r="E475" s="4">
        <v>9</v>
      </c>
      <c r="F475" s="4">
        <v>1125</v>
      </c>
      <c r="G475" s="4">
        <v>12528</v>
      </c>
      <c r="H475" s="4">
        <v>6315</v>
      </c>
      <c r="I475" s="4">
        <v>11404</v>
      </c>
      <c r="J475" s="5">
        <v>0</v>
      </c>
      <c r="K475" s="6">
        <v>514.0347375</v>
      </c>
      <c r="L475" s="6">
        <v>530.6327683000001</v>
      </c>
      <c r="M475" s="6">
        <v>592.7947820499999</v>
      </c>
      <c r="N475" s="6">
        <v>60502.315493500006</v>
      </c>
      <c r="O475" s="6">
        <v>60521.887787</v>
      </c>
      <c r="P475" s="6">
        <v>60562.53530797</v>
      </c>
      <c r="Q475" s="6">
        <v>20</v>
      </c>
      <c r="R475" s="6">
        <v>21</v>
      </c>
      <c r="S475" s="6">
        <v>21</v>
      </c>
      <c r="T475" s="6">
        <v>517.7472129700624</v>
      </c>
      <c r="U475" s="6">
        <v>60505.696850559245</v>
      </c>
      <c r="V475" s="6">
        <v>60545.38656488203</v>
      </c>
      <c r="W475" s="4">
        <v>0</v>
      </c>
      <c r="X475" s="4">
        <v>0</v>
      </c>
      <c r="Y475" s="4">
        <v>0</v>
      </c>
      <c r="Z475" s="4" t="s">
        <v>1093</v>
      </c>
      <c r="AA475" s="4" t="s">
        <v>1094</v>
      </c>
    </row>
    <row r="476" ht="30" customHeight="1" spans="1:27" x14ac:dyDescent="0.25">
      <c r="A476" s="4" t="s">
        <v>146</v>
      </c>
      <c r="B476" s="4" t="s">
        <v>108</v>
      </c>
      <c r="C476" s="4">
        <v>18000</v>
      </c>
      <c r="D476" s="4" t="s">
        <v>109</v>
      </c>
      <c r="E476" s="4">
        <v>10</v>
      </c>
      <c r="F476" s="4">
        <v>1125</v>
      </c>
      <c r="G476" s="4">
        <v>12521</v>
      </c>
      <c r="H476" s="4">
        <v>6282</v>
      </c>
      <c r="I476" s="4">
        <v>11397</v>
      </c>
      <c r="J476" s="5">
        <v>0</v>
      </c>
      <c r="K476" s="6">
        <v>514.023137</v>
      </c>
      <c r="L476" s="6">
        <v>531.703637</v>
      </c>
      <c r="M476" s="6">
        <v>600.2875837999999</v>
      </c>
      <c r="N476" s="6">
        <v>60502.241304</v>
      </c>
      <c r="O476" s="6">
        <v>60522.945308</v>
      </c>
      <c r="P476" s="6">
        <v>60566.7906316</v>
      </c>
      <c r="Q476" s="6">
        <v>20</v>
      </c>
      <c r="R476" s="6">
        <v>21</v>
      </c>
      <c r="S476" s="6">
        <v>21</v>
      </c>
      <c r="T476" s="6">
        <v>518.1354503388702</v>
      </c>
      <c r="U476" s="6">
        <v>60505.85744950692</v>
      </c>
      <c r="V476" s="6">
        <v>60545.21853995424</v>
      </c>
      <c r="W476" s="4">
        <v>0</v>
      </c>
      <c r="X476" s="4">
        <v>0</v>
      </c>
      <c r="Y476" s="4">
        <v>0</v>
      </c>
      <c r="Z476" s="4" t="s">
        <v>1095</v>
      </c>
      <c r="AA476" s="4" t="s">
        <v>1096</v>
      </c>
    </row>
    <row r="477" ht="30" customHeight="1" spans="1:27" x14ac:dyDescent="0.25">
      <c r="A477" s="4" t="s">
        <v>146</v>
      </c>
      <c r="B477" s="4" t="s">
        <v>108</v>
      </c>
      <c r="C477" s="4">
        <v>18000</v>
      </c>
      <c r="D477" s="4" t="s">
        <v>109</v>
      </c>
      <c r="E477" s="4">
        <v>11</v>
      </c>
      <c r="F477" s="4">
        <v>1125</v>
      </c>
      <c r="G477" s="4">
        <v>12527</v>
      </c>
      <c r="H477" s="4">
        <v>6211</v>
      </c>
      <c r="I477" s="4">
        <v>11404</v>
      </c>
      <c r="J477" s="5">
        <v>0</v>
      </c>
      <c r="K477" s="6">
        <v>514.301718</v>
      </c>
      <c r="L477" s="6">
        <v>530.2876638</v>
      </c>
      <c r="M477" s="6">
        <v>590.0276884199998</v>
      </c>
      <c r="N477" s="6">
        <v>60502.429597</v>
      </c>
      <c r="O477" s="6">
        <v>60522.030488</v>
      </c>
      <c r="P477" s="6">
        <v>60561.05166282</v>
      </c>
      <c r="Q477" s="6">
        <v>20</v>
      </c>
      <c r="R477" s="6">
        <v>21</v>
      </c>
      <c r="S477" s="6">
        <v>21</v>
      </c>
      <c r="T477" s="6">
        <v>517.5674069091577</v>
      </c>
      <c r="U477" s="6">
        <v>60505.6284463626</v>
      </c>
      <c r="V477" s="6">
        <v>60542.98904463471</v>
      </c>
      <c r="W477" s="4">
        <v>0</v>
      </c>
      <c r="X477" s="4">
        <v>0</v>
      </c>
      <c r="Y477" s="4">
        <v>0</v>
      </c>
      <c r="Z477" s="4" t="s">
        <v>1097</v>
      </c>
      <c r="AA477" s="4" t="s">
        <v>1098</v>
      </c>
    </row>
    <row r="478" ht="30" customHeight="1" spans="1:27" x14ac:dyDescent="0.25">
      <c r="A478" s="4" t="s">
        <v>146</v>
      </c>
      <c r="B478" s="4" t="s">
        <v>108</v>
      </c>
      <c r="C478" s="4">
        <v>18000</v>
      </c>
      <c r="D478" s="4" t="s">
        <v>109</v>
      </c>
      <c r="E478" s="4">
        <v>12</v>
      </c>
      <c r="F478" s="4">
        <v>1125</v>
      </c>
      <c r="G478" s="4">
        <v>12528</v>
      </c>
      <c r="H478" s="4">
        <v>6229</v>
      </c>
      <c r="I478" s="4">
        <v>11403</v>
      </c>
      <c r="J478" s="5">
        <v>0</v>
      </c>
      <c r="K478" s="6">
        <v>514.5034069999999</v>
      </c>
      <c r="L478" s="6">
        <v>531.8833423</v>
      </c>
      <c r="M478" s="6">
        <v>597.8809957499998</v>
      </c>
      <c r="N478" s="6">
        <v>60502.830191500005</v>
      </c>
      <c r="O478" s="6">
        <v>60523.2162751</v>
      </c>
      <c r="P478" s="6">
        <v>60563.08988663</v>
      </c>
      <c r="Q478" s="6">
        <v>20</v>
      </c>
      <c r="R478" s="6">
        <v>21</v>
      </c>
      <c r="S478" s="6">
        <v>21</v>
      </c>
      <c r="T478" s="6">
        <v>518.3102839450809</v>
      </c>
      <c r="U478" s="6">
        <v>60506.284706142455</v>
      </c>
      <c r="V478" s="6">
        <v>60544.62859849749</v>
      </c>
      <c r="W478" s="4">
        <v>0</v>
      </c>
      <c r="X478" s="4">
        <v>0</v>
      </c>
      <c r="Y478" s="4">
        <v>0</v>
      </c>
      <c r="Z478" s="4" t="s">
        <v>1099</v>
      </c>
      <c r="AA478" s="4" t="s">
        <v>1100</v>
      </c>
    </row>
    <row r="479" ht="30" customHeight="1" spans="1:27" x14ac:dyDescent="0.25">
      <c r="A479" s="4" t="s">
        <v>146</v>
      </c>
      <c r="B479" s="4" t="s">
        <v>108</v>
      </c>
      <c r="C479" s="4">
        <v>18000</v>
      </c>
      <c r="D479" s="4" t="s">
        <v>109</v>
      </c>
      <c r="E479" s="4">
        <v>13</v>
      </c>
      <c r="F479" s="4">
        <v>1125</v>
      </c>
      <c r="G479" s="4">
        <v>12523</v>
      </c>
      <c r="H479" s="4">
        <v>6241</v>
      </c>
      <c r="I479" s="4">
        <v>11399</v>
      </c>
      <c r="J479" s="5">
        <v>0</v>
      </c>
      <c r="K479" s="6">
        <v>514.191189</v>
      </c>
      <c r="L479" s="6">
        <v>530.6174248</v>
      </c>
      <c r="M479" s="6">
        <v>605.6083080600002</v>
      </c>
      <c r="N479" s="6">
        <v>60502.496402</v>
      </c>
      <c r="O479" s="6">
        <v>60522.415890000004</v>
      </c>
      <c r="P479" s="6">
        <v>60560.08314938</v>
      </c>
      <c r="Q479" s="6">
        <v>20</v>
      </c>
      <c r="R479" s="6">
        <v>21</v>
      </c>
      <c r="S479" s="6">
        <v>21</v>
      </c>
      <c r="T479" s="6">
        <v>517.8319351183441</v>
      </c>
      <c r="U479" s="6">
        <v>60505.66711920428</v>
      </c>
      <c r="V479" s="6">
        <v>60544.97628017913</v>
      </c>
      <c r="W479" s="4">
        <v>0</v>
      </c>
      <c r="X479" s="4">
        <v>0</v>
      </c>
      <c r="Y479" s="4">
        <v>0</v>
      </c>
      <c r="Z479" s="4" t="s">
        <v>1101</v>
      </c>
      <c r="AA479" s="4" t="s">
        <v>1102</v>
      </c>
    </row>
    <row r="480" ht="30" customHeight="1" spans="1:27" x14ac:dyDescent="0.25">
      <c r="A480" s="4" t="s">
        <v>146</v>
      </c>
      <c r="B480" s="4" t="s">
        <v>108</v>
      </c>
      <c r="C480" s="4">
        <v>18000</v>
      </c>
      <c r="D480" s="4" t="s">
        <v>109</v>
      </c>
      <c r="E480" s="4">
        <v>14</v>
      </c>
      <c r="F480" s="4">
        <v>1125</v>
      </c>
      <c r="G480" s="4">
        <v>12528</v>
      </c>
      <c r="H480" s="4">
        <v>6158</v>
      </c>
      <c r="I480" s="4">
        <v>11403</v>
      </c>
      <c r="J480" s="5">
        <v>0</v>
      </c>
      <c r="K480" s="6">
        <v>514.0643689999999</v>
      </c>
      <c r="L480" s="6">
        <v>530.5275537</v>
      </c>
      <c r="M480" s="6">
        <v>581.3619994999999</v>
      </c>
      <c r="N480" s="6">
        <v>60502.402505</v>
      </c>
      <c r="O480" s="6">
        <v>60521.574294</v>
      </c>
      <c r="P480" s="6">
        <v>60559.70821526</v>
      </c>
      <c r="Q480" s="6">
        <v>20</v>
      </c>
      <c r="R480" s="6">
        <v>21</v>
      </c>
      <c r="S480" s="6">
        <v>21</v>
      </c>
      <c r="T480" s="6">
        <v>517.4855861353788</v>
      </c>
      <c r="U480" s="6">
        <v>60505.66057480287</v>
      </c>
      <c r="V480" s="6">
        <v>60543.46715045848</v>
      </c>
      <c r="W480" s="4">
        <v>0</v>
      </c>
      <c r="X480" s="4">
        <v>0</v>
      </c>
      <c r="Y480" s="4">
        <v>0</v>
      </c>
      <c r="Z480" s="4" t="s">
        <v>1103</v>
      </c>
      <c r="AA480" s="4" t="s">
        <v>1104</v>
      </c>
    </row>
    <row r="481" ht="30" customHeight="1" spans="1:27" x14ac:dyDescent="0.25">
      <c r="A481" s="4" t="s">
        <v>146</v>
      </c>
      <c r="B481" s="4" t="s">
        <v>108</v>
      </c>
      <c r="C481" s="4">
        <v>18000</v>
      </c>
      <c r="D481" s="4" t="s">
        <v>109</v>
      </c>
      <c r="E481" s="4">
        <v>15</v>
      </c>
      <c r="F481" s="4">
        <v>1125</v>
      </c>
      <c r="G481" s="4">
        <v>12530</v>
      </c>
      <c r="H481" s="4">
        <v>6338</v>
      </c>
      <c r="I481" s="4">
        <v>11406</v>
      </c>
      <c r="J481" s="5">
        <v>0</v>
      </c>
      <c r="K481" s="6">
        <v>514.495275</v>
      </c>
      <c r="L481" s="6">
        <v>531.769976</v>
      </c>
      <c r="M481" s="6">
        <v>594.6576038499999</v>
      </c>
      <c r="N481" s="6">
        <v>60502.592889499996</v>
      </c>
      <c r="O481" s="6">
        <v>60522.7732867</v>
      </c>
      <c r="P481" s="6">
        <v>60561.15673449</v>
      </c>
      <c r="Q481" s="6">
        <v>20</v>
      </c>
      <c r="R481" s="6">
        <v>21</v>
      </c>
      <c r="S481" s="6">
        <v>21</v>
      </c>
      <c r="T481" s="6">
        <v>518.28714597805</v>
      </c>
      <c r="U481" s="6">
        <v>60506.01900793353</v>
      </c>
      <c r="V481" s="6">
        <v>60545.29194640664</v>
      </c>
      <c r="W481" s="4">
        <v>0</v>
      </c>
      <c r="X481" s="4">
        <v>0</v>
      </c>
      <c r="Y481" s="4">
        <v>0</v>
      </c>
      <c r="Z481" s="4" t="s">
        <v>1105</v>
      </c>
      <c r="AA481" s="4" t="s">
        <v>1106</v>
      </c>
    </row>
    <row r="482" ht="30" customHeight="1" spans="1:27" x14ac:dyDescent="0.25">
      <c r="A482" s="4" t="s">
        <v>146</v>
      </c>
      <c r="B482" s="4" t="s">
        <v>117</v>
      </c>
      <c r="C482" s="4">
        <v>1000</v>
      </c>
      <c r="D482" s="4" t="s">
        <v>109</v>
      </c>
      <c r="E482" s="4">
        <v>0</v>
      </c>
      <c r="F482" s="4">
        <v>63</v>
      </c>
      <c r="G482" s="4">
        <v>701</v>
      </c>
      <c r="H482" s="4">
        <v>355</v>
      </c>
      <c r="I482" s="4">
        <v>638</v>
      </c>
      <c r="J482" s="5">
        <v>0</v>
      </c>
      <c r="K482" s="6">
        <v>502.7798</v>
      </c>
      <c r="L482" s="6">
        <v>504.066489</v>
      </c>
      <c r="M482" s="6">
        <v>507.273597</v>
      </c>
      <c r="N482" s="6">
        <v>60494.689514</v>
      </c>
      <c r="O482" s="6">
        <v>60496.611787</v>
      </c>
      <c r="P482" s="6">
        <v>60498.786877</v>
      </c>
      <c r="Q482" s="6">
        <v>10</v>
      </c>
      <c r="R482" s="6">
        <v>10.100000000002183</v>
      </c>
      <c r="S482" s="6">
        <v>11</v>
      </c>
      <c r="T482" s="6">
        <v>502.90795342082765</v>
      </c>
      <c r="U482" s="6">
        <v>60494.7392840642</v>
      </c>
      <c r="V482" s="6">
        <v>60568.23204818259</v>
      </c>
      <c r="W482" s="4">
        <v>0</v>
      </c>
      <c r="X482" s="4">
        <v>0</v>
      </c>
      <c r="Y482" s="4">
        <v>0</v>
      </c>
      <c r="Z482" s="4" t="s">
        <v>1107</v>
      </c>
      <c r="AA482" s="4" t="s">
        <v>1108</v>
      </c>
    </row>
    <row r="483" ht="30" customHeight="1" spans="1:27" x14ac:dyDescent="0.25">
      <c r="A483" s="4" t="s">
        <v>146</v>
      </c>
      <c r="B483" s="4" t="s">
        <v>117</v>
      </c>
      <c r="C483" s="4">
        <v>1000</v>
      </c>
      <c r="D483" s="4" t="s">
        <v>109</v>
      </c>
      <c r="E483" s="4">
        <v>1</v>
      </c>
      <c r="F483" s="4">
        <v>63</v>
      </c>
      <c r="G483" s="4">
        <v>702</v>
      </c>
      <c r="H483" s="4">
        <v>350</v>
      </c>
      <c r="I483" s="4">
        <v>639</v>
      </c>
      <c r="J483" s="5">
        <v>0</v>
      </c>
      <c r="K483" s="6">
        <v>502.84975499999996</v>
      </c>
      <c r="L483" s="6">
        <v>504.02813</v>
      </c>
      <c r="M483" s="6">
        <v>507.00694839</v>
      </c>
      <c r="N483" s="6">
        <v>60494.7505125</v>
      </c>
      <c r="O483" s="6">
        <v>60496.7197052</v>
      </c>
      <c r="P483" s="6">
        <v>60498.764982320004</v>
      </c>
      <c r="Q483" s="6">
        <v>10</v>
      </c>
      <c r="R483" s="6">
        <v>11</v>
      </c>
      <c r="S483" s="6">
        <v>11</v>
      </c>
      <c r="T483" s="6">
        <v>502.98173285042725</v>
      </c>
      <c r="U483" s="6">
        <v>60494.767840049855</v>
      </c>
      <c r="V483" s="6">
        <v>60566.3700812279</v>
      </c>
      <c r="W483" s="4">
        <v>0</v>
      </c>
      <c r="X483" s="4">
        <v>0</v>
      </c>
      <c r="Y483" s="4">
        <v>0</v>
      </c>
      <c r="Z483" s="4" t="s">
        <v>1109</v>
      </c>
      <c r="AA483" s="4" t="s">
        <v>1110</v>
      </c>
    </row>
    <row r="484" ht="30" customHeight="1" spans="1:27" x14ac:dyDescent="0.25">
      <c r="A484" s="4" t="s">
        <v>146</v>
      </c>
      <c r="B484" s="4" t="s">
        <v>117</v>
      </c>
      <c r="C484" s="4">
        <v>1000</v>
      </c>
      <c r="D484" s="4" t="s">
        <v>109</v>
      </c>
      <c r="E484" s="4">
        <v>2</v>
      </c>
      <c r="F484" s="4">
        <v>63</v>
      </c>
      <c r="G484" s="4">
        <v>701</v>
      </c>
      <c r="H484" s="4">
        <v>348</v>
      </c>
      <c r="I484" s="4">
        <v>638</v>
      </c>
      <c r="J484" s="5">
        <v>0</v>
      </c>
      <c r="K484" s="6">
        <v>502.824316</v>
      </c>
      <c r="L484" s="6">
        <v>504.026266</v>
      </c>
      <c r="M484" s="6">
        <v>507.913869</v>
      </c>
      <c r="N484" s="6">
        <v>60494.713375</v>
      </c>
      <c r="O484" s="6">
        <v>60496.748621</v>
      </c>
      <c r="P484" s="6">
        <v>60499.296644</v>
      </c>
      <c r="Q484" s="6">
        <v>10</v>
      </c>
      <c r="R484" s="6">
        <v>11</v>
      </c>
      <c r="S484" s="6">
        <v>11</v>
      </c>
      <c r="T484" s="6">
        <v>502.9200501968618</v>
      </c>
      <c r="U484" s="6">
        <v>60494.7494612753</v>
      </c>
      <c r="V484" s="6">
        <v>60566.908448199625</v>
      </c>
      <c r="W484" s="4">
        <v>0</v>
      </c>
      <c r="X484" s="4">
        <v>0</v>
      </c>
      <c r="Y484" s="4">
        <v>0</v>
      </c>
      <c r="Z484" s="4" t="s">
        <v>1111</v>
      </c>
      <c r="AA484" s="4" t="s">
        <v>1112</v>
      </c>
    </row>
    <row r="485" ht="30" customHeight="1" spans="1:27" x14ac:dyDescent="0.25">
      <c r="A485" s="4" t="s">
        <v>146</v>
      </c>
      <c r="B485" s="4" t="s">
        <v>117</v>
      </c>
      <c r="C485" s="4">
        <v>1000</v>
      </c>
      <c r="D485" s="4" t="s">
        <v>109</v>
      </c>
      <c r="E485" s="4">
        <v>3</v>
      </c>
      <c r="F485" s="4">
        <v>63</v>
      </c>
      <c r="G485" s="4">
        <v>702</v>
      </c>
      <c r="H485" s="4">
        <v>360</v>
      </c>
      <c r="I485" s="4">
        <v>639</v>
      </c>
      <c r="J485" s="5">
        <v>0</v>
      </c>
      <c r="K485" s="6">
        <v>502.80485450000003</v>
      </c>
      <c r="L485" s="6">
        <v>503.9517275</v>
      </c>
      <c r="M485" s="6">
        <v>507.03634573</v>
      </c>
      <c r="N485" s="6">
        <v>60494.587148</v>
      </c>
      <c r="O485" s="6">
        <v>60496.5814607</v>
      </c>
      <c r="P485" s="6">
        <v>60499.54580757</v>
      </c>
      <c r="Q485" s="6">
        <v>10</v>
      </c>
      <c r="R485" s="6">
        <v>11</v>
      </c>
      <c r="S485" s="6">
        <v>11</v>
      </c>
      <c r="T485" s="6">
        <v>502.925336374644</v>
      </c>
      <c r="U485" s="6">
        <v>60494.80892313965</v>
      </c>
      <c r="V485" s="6">
        <v>60568.62969913112</v>
      </c>
      <c r="W485" s="4">
        <v>0</v>
      </c>
      <c r="X485" s="4">
        <v>0</v>
      </c>
      <c r="Y485" s="4">
        <v>0</v>
      </c>
      <c r="Z485" s="4" t="s">
        <v>1113</v>
      </c>
      <c r="AA485" s="4" t="s">
        <v>1114</v>
      </c>
    </row>
    <row r="486" ht="30" customHeight="1" spans="1:27" x14ac:dyDescent="0.25">
      <c r="A486" s="4" t="s">
        <v>146</v>
      </c>
      <c r="B486" s="4" t="s">
        <v>117</v>
      </c>
      <c r="C486" s="4">
        <v>1000</v>
      </c>
      <c r="D486" s="4" t="s">
        <v>109</v>
      </c>
      <c r="E486" s="4">
        <v>4</v>
      </c>
      <c r="F486" s="4">
        <v>63</v>
      </c>
      <c r="G486" s="4">
        <v>701</v>
      </c>
      <c r="H486" s="4">
        <v>329</v>
      </c>
      <c r="I486" s="4">
        <v>638</v>
      </c>
      <c r="J486" s="5">
        <v>0</v>
      </c>
      <c r="K486" s="6">
        <v>502.785506</v>
      </c>
      <c r="L486" s="6">
        <v>504.021622</v>
      </c>
      <c r="M486" s="6">
        <v>505.896244</v>
      </c>
      <c r="N486" s="6">
        <v>60494.566963</v>
      </c>
      <c r="O486" s="6">
        <v>60496.617553</v>
      </c>
      <c r="P486" s="6">
        <v>60499.46975</v>
      </c>
      <c r="Q486" s="6">
        <v>10</v>
      </c>
      <c r="R486" s="6">
        <v>11</v>
      </c>
      <c r="S486" s="6">
        <v>11</v>
      </c>
      <c r="T486" s="6">
        <v>502.88062458487803</v>
      </c>
      <c r="U486" s="6">
        <v>60494.72563077593</v>
      </c>
      <c r="V486" s="6">
        <v>60563.5922482026</v>
      </c>
      <c r="W486" s="4">
        <v>0</v>
      </c>
      <c r="X486" s="4">
        <v>0</v>
      </c>
      <c r="Y486" s="4">
        <v>0</v>
      </c>
      <c r="Z486" s="4" t="s">
        <v>1115</v>
      </c>
      <c r="AA486" s="4" t="s">
        <v>1116</v>
      </c>
    </row>
    <row r="487" ht="30" customHeight="1" spans="1:27" x14ac:dyDescent="0.25">
      <c r="A487" s="4" t="s">
        <v>146</v>
      </c>
      <c r="B487" s="4" t="s">
        <v>117</v>
      </c>
      <c r="C487" s="4">
        <v>1000</v>
      </c>
      <c r="D487" s="4" t="s">
        <v>109</v>
      </c>
      <c r="E487" s="4">
        <v>5</v>
      </c>
      <c r="F487" s="4">
        <v>63</v>
      </c>
      <c r="G487" s="4">
        <v>702</v>
      </c>
      <c r="H487" s="4">
        <v>377</v>
      </c>
      <c r="I487" s="4">
        <v>639</v>
      </c>
      <c r="J487" s="5">
        <v>0</v>
      </c>
      <c r="K487" s="6">
        <v>502.768881</v>
      </c>
      <c r="L487" s="6">
        <v>504.0406401</v>
      </c>
      <c r="M487" s="6">
        <v>508.76887657000003</v>
      </c>
      <c r="N487" s="6">
        <v>60494.9495915</v>
      </c>
      <c r="O487" s="6">
        <v>60496.9145201</v>
      </c>
      <c r="P487" s="6">
        <v>60499.802000079995</v>
      </c>
      <c r="Q487" s="6">
        <v>10</v>
      </c>
      <c r="R487" s="6">
        <v>11</v>
      </c>
      <c r="S487" s="6">
        <v>11</v>
      </c>
      <c r="T487" s="6">
        <v>503.01430324928765</v>
      </c>
      <c r="U487" s="6">
        <v>60494.923841794865</v>
      </c>
      <c r="V487" s="6">
        <v>60573.18753589748</v>
      </c>
      <c r="W487" s="4">
        <v>0</v>
      </c>
      <c r="X487" s="4">
        <v>0</v>
      </c>
      <c r="Y487" s="4">
        <v>0</v>
      </c>
      <c r="Z487" s="4" t="s">
        <v>1117</v>
      </c>
      <c r="AA487" s="4" t="s">
        <v>1118</v>
      </c>
    </row>
    <row r="488" ht="30" customHeight="1" spans="1:27" x14ac:dyDescent="0.25">
      <c r="A488" s="4" t="s">
        <v>146</v>
      </c>
      <c r="B488" s="4" t="s">
        <v>117</v>
      </c>
      <c r="C488" s="4">
        <v>1000</v>
      </c>
      <c r="D488" s="4" t="s">
        <v>109</v>
      </c>
      <c r="E488" s="4">
        <v>6</v>
      </c>
      <c r="F488" s="4">
        <v>63</v>
      </c>
      <c r="G488" s="4">
        <v>702</v>
      </c>
      <c r="H488" s="4">
        <v>352</v>
      </c>
      <c r="I488" s="4">
        <v>639</v>
      </c>
      <c r="J488" s="5">
        <v>0</v>
      </c>
      <c r="K488" s="6">
        <v>502.7681905</v>
      </c>
      <c r="L488" s="6">
        <v>504.0134339</v>
      </c>
      <c r="M488" s="6">
        <v>505.62975333</v>
      </c>
      <c r="N488" s="6">
        <v>60494.786565</v>
      </c>
      <c r="O488" s="6">
        <v>60496.7393342</v>
      </c>
      <c r="P488" s="6">
        <v>60498.93062172</v>
      </c>
      <c r="Q488" s="6">
        <v>10</v>
      </c>
      <c r="R488" s="6">
        <v>11</v>
      </c>
      <c r="S488" s="6">
        <v>11</v>
      </c>
      <c r="T488" s="6">
        <v>502.8938174629633</v>
      </c>
      <c r="U488" s="6">
        <v>60494.797291414405</v>
      </c>
      <c r="V488" s="6">
        <v>60567.10859151006</v>
      </c>
      <c r="W488" s="4">
        <v>0</v>
      </c>
      <c r="X488" s="4">
        <v>0</v>
      </c>
      <c r="Y488" s="4">
        <v>0</v>
      </c>
      <c r="Z488" s="4" t="s">
        <v>1119</v>
      </c>
      <c r="AA488" s="4" t="s">
        <v>1120</v>
      </c>
    </row>
    <row r="489" ht="30" customHeight="1" spans="1:27" x14ac:dyDescent="0.25">
      <c r="A489" s="4" t="s">
        <v>146</v>
      </c>
      <c r="B489" s="4" t="s">
        <v>117</v>
      </c>
      <c r="C489" s="4">
        <v>1000</v>
      </c>
      <c r="D489" s="4" t="s">
        <v>109</v>
      </c>
      <c r="E489" s="4">
        <v>7</v>
      </c>
      <c r="F489" s="4">
        <v>63</v>
      </c>
      <c r="G489" s="4">
        <v>703</v>
      </c>
      <c r="H489" s="4">
        <v>330</v>
      </c>
      <c r="I489" s="4">
        <v>640</v>
      </c>
      <c r="J489" s="5">
        <v>0</v>
      </c>
      <c r="K489" s="6">
        <v>502.861312</v>
      </c>
      <c r="L489" s="6">
        <v>504.0325396</v>
      </c>
      <c r="M489" s="6">
        <v>506.351479</v>
      </c>
      <c r="N489" s="6">
        <v>60494.592634</v>
      </c>
      <c r="O489" s="6">
        <v>60496.6700544</v>
      </c>
      <c r="P489" s="6">
        <v>60498.792438519995</v>
      </c>
      <c r="Q489" s="6">
        <v>10</v>
      </c>
      <c r="R489" s="6">
        <v>11</v>
      </c>
      <c r="S489" s="6">
        <v>11</v>
      </c>
      <c r="T489" s="6">
        <v>502.9378716330016</v>
      </c>
      <c r="U489" s="6">
        <v>60494.67844660592</v>
      </c>
      <c r="V489" s="6">
        <v>60562.703839532005</v>
      </c>
      <c r="W489" s="4">
        <v>0</v>
      </c>
      <c r="X489" s="4">
        <v>0</v>
      </c>
      <c r="Y489" s="4">
        <v>0</v>
      </c>
      <c r="Z489" s="4" t="s">
        <v>1121</v>
      </c>
      <c r="AA489" s="4" t="s">
        <v>1122</v>
      </c>
    </row>
    <row r="490" ht="30" customHeight="1" spans="1:27" x14ac:dyDescent="0.25">
      <c r="A490" s="4" t="s">
        <v>146</v>
      </c>
      <c r="B490" s="4" t="s">
        <v>117</v>
      </c>
      <c r="C490" s="4">
        <v>1000</v>
      </c>
      <c r="D490" s="4" t="s">
        <v>109</v>
      </c>
      <c r="E490" s="4">
        <v>8</v>
      </c>
      <c r="F490" s="4">
        <v>62</v>
      </c>
      <c r="G490" s="4">
        <v>690</v>
      </c>
      <c r="H490" s="4">
        <v>339</v>
      </c>
      <c r="I490" s="4">
        <v>628</v>
      </c>
      <c r="J490" s="5">
        <v>0</v>
      </c>
      <c r="K490" s="6">
        <v>502.8353715</v>
      </c>
      <c r="L490" s="6">
        <v>503.99579689999996</v>
      </c>
      <c r="M490" s="6">
        <v>507.22601613000006</v>
      </c>
      <c r="N490" s="6">
        <v>60494.792352000004</v>
      </c>
      <c r="O490" s="6">
        <v>60496.6928993</v>
      </c>
      <c r="P490" s="6">
        <v>60499.58109415</v>
      </c>
      <c r="Q490" s="6">
        <v>10</v>
      </c>
      <c r="R490" s="6">
        <v>11</v>
      </c>
      <c r="S490" s="6">
        <v>11</v>
      </c>
      <c r="T490" s="6">
        <v>503.00794932608665</v>
      </c>
      <c r="U490" s="6">
        <v>60494.84818146084</v>
      </c>
      <c r="V490" s="6">
        <v>60566.54323421309</v>
      </c>
      <c r="W490" s="4">
        <v>0</v>
      </c>
      <c r="X490" s="4">
        <v>0</v>
      </c>
      <c r="Y490" s="4">
        <v>0</v>
      </c>
      <c r="Z490" s="4" t="s">
        <v>1123</v>
      </c>
      <c r="AA490" s="4" t="s">
        <v>1124</v>
      </c>
    </row>
    <row r="491" ht="30" customHeight="1" spans="1:27" x14ac:dyDescent="0.25">
      <c r="A491" s="4" t="s">
        <v>146</v>
      </c>
      <c r="B491" s="4" t="s">
        <v>117</v>
      </c>
      <c r="C491" s="4">
        <v>1000</v>
      </c>
      <c r="D491" s="4" t="s">
        <v>109</v>
      </c>
      <c r="E491" s="4">
        <v>9</v>
      </c>
      <c r="F491" s="4">
        <v>62</v>
      </c>
      <c r="G491" s="4">
        <v>691</v>
      </c>
      <c r="H491" s="4">
        <v>349</v>
      </c>
      <c r="I491" s="4">
        <v>629</v>
      </c>
      <c r="J491" s="5">
        <v>0</v>
      </c>
      <c r="K491" s="6">
        <v>502.805785</v>
      </c>
      <c r="L491" s="6">
        <v>504.063159</v>
      </c>
      <c r="M491" s="6">
        <v>508.7398235</v>
      </c>
      <c r="N491" s="6">
        <v>60494.822654</v>
      </c>
      <c r="O491" s="6">
        <v>60497.138334</v>
      </c>
      <c r="P491" s="6">
        <v>60500.40586</v>
      </c>
      <c r="Q491" s="6">
        <v>10</v>
      </c>
      <c r="R491" s="6">
        <v>10</v>
      </c>
      <c r="S491" s="6">
        <v>11</v>
      </c>
      <c r="T491" s="6">
        <v>502.93096255571646</v>
      </c>
      <c r="U491" s="6">
        <v>60494.92325769901</v>
      </c>
      <c r="V491" s="6">
        <v>60568.51770065272</v>
      </c>
      <c r="W491" s="4">
        <v>0</v>
      </c>
      <c r="X491" s="4">
        <v>0</v>
      </c>
      <c r="Y491" s="4">
        <v>0</v>
      </c>
      <c r="Z491" s="4" t="s">
        <v>1125</v>
      </c>
      <c r="AA491" s="4" t="s">
        <v>1126</v>
      </c>
    </row>
    <row r="492" ht="30" customHeight="1" spans="1:27" x14ac:dyDescent="0.25">
      <c r="A492" s="4" t="s">
        <v>146</v>
      </c>
      <c r="B492" s="4" t="s">
        <v>117</v>
      </c>
      <c r="C492" s="4">
        <v>1000</v>
      </c>
      <c r="D492" s="4" t="s">
        <v>109</v>
      </c>
      <c r="E492" s="4">
        <v>10</v>
      </c>
      <c r="F492" s="4">
        <v>62</v>
      </c>
      <c r="G492" s="4">
        <v>689</v>
      </c>
      <c r="H492" s="4">
        <v>336</v>
      </c>
      <c r="I492" s="4">
        <v>628</v>
      </c>
      <c r="J492" s="5">
        <v>0</v>
      </c>
      <c r="K492" s="6">
        <v>502.841696</v>
      </c>
      <c r="L492" s="6">
        <v>503.9477836</v>
      </c>
      <c r="M492" s="6">
        <v>507.39214552</v>
      </c>
      <c r="N492" s="6">
        <v>60494.738617</v>
      </c>
      <c r="O492" s="6">
        <v>60496.7191182</v>
      </c>
      <c r="P492" s="6">
        <v>60499.629441439996</v>
      </c>
      <c r="Q492" s="6">
        <v>10</v>
      </c>
      <c r="R492" s="6">
        <v>10</v>
      </c>
      <c r="S492" s="6">
        <v>11</v>
      </c>
      <c r="T492" s="6">
        <v>502.90733672278657</v>
      </c>
      <c r="U492" s="6">
        <v>60494.84922672711</v>
      </c>
      <c r="V492" s="6">
        <v>60565.30245160231</v>
      </c>
      <c r="W492" s="4">
        <v>0</v>
      </c>
      <c r="X492" s="4">
        <v>0</v>
      </c>
      <c r="Y492" s="4">
        <v>0</v>
      </c>
      <c r="Z492" s="4" t="s">
        <v>1127</v>
      </c>
      <c r="AA492" s="4" t="s">
        <v>1128</v>
      </c>
    </row>
    <row r="493" ht="30" customHeight="1" spans="1:27" x14ac:dyDescent="0.25">
      <c r="A493" s="4" t="s">
        <v>146</v>
      </c>
      <c r="B493" s="4" t="s">
        <v>117</v>
      </c>
      <c r="C493" s="4">
        <v>1000</v>
      </c>
      <c r="D493" s="4" t="s">
        <v>109</v>
      </c>
      <c r="E493" s="4">
        <v>11</v>
      </c>
      <c r="F493" s="4">
        <v>62</v>
      </c>
      <c r="G493" s="4">
        <v>690</v>
      </c>
      <c r="H493" s="4">
        <v>334</v>
      </c>
      <c r="I493" s="4">
        <v>628</v>
      </c>
      <c r="J493" s="5">
        <v>0</v>
      </c>
      <c r="K493" s="6">
        <v>502.81340750000004</v>
      </c>
      <c r="L493" s="6">
        <v>504.1069923</v>
      </c>
      <c r="M493" s="6">
        <v>506.50354571</v>
      </c>
      <c r="N493" s="6">
        <v>60494.664492</v>
      </c>
      <c r="O493" s="6">
        <v>60496.8737342</v>
      </c>
      <c r="P493" s="6">
        <v>60500.62537737</v>
      </c>
      <c r="Q493" s="6">
        <v>10</v>
      </c>
      <c r="R493" s="6">
        <v>11</v>
      </c>
      <c r="S493" s="6">
        <v>11</v>
      </c>
      <c r="T493" s="6">
        <v>502.9380089536229</v>
      </c>
      <c r="U493" s="6">
        <v>60494.811559611524</v>
      </c>
      <c r="V493" s="6">
        <v>60565.43325549706</v>
      </c>
      <c r="W493" s="4">
        <v>0</v>
      </c>
      <c r="X493" s="4">
        <v>0</v>
      </c>
      <c r="Y493" s="4">
        <v>0</v>
      </c>
      <c r="Z493" s="4" t="s">
        <v>1129</v>
      </c>
      <c r="AA493" s="4" t="s">
        <v>1130</v>
      </c>
    </row>
    <row r="494" ht="30" customHeight="1" spans="1:27" x14ac:dyDescent="0.25">
      <c r="A494" s="4" t="s">
        <v>146</v>
      </c>
      <c r="B494" s="4" t="s">
        <v>117</v>
      </c>
      <c r="C494" s="4">
        <v>1000</v>
      </c>
      <c r="D494" s="4" t="s">
        <v>109</v>
      </c>
      <c r="E494" s="4">
        <v>12</v>
      </c>
      <c r="F494" s="4">
        <v>62</v>
      </c>
      <c r="G494" s="4">
        <v>690</v>
      </c>
      <c r="H494" s="4">
        <v>339</v>
      </c>
      <c r="I494" s="4">
        <v>628</v>
      </c>
      <c r="J494" s="5">
        <v>0</v>
      </c>
      <c r="K494" s="6">
        <v>502.805736</v>
      </c>
      <c r="L494" s="6">
        <v>504.0648585</v>
      </c>
      <c r="M494" s="6">
        <v>507.78319086</v>
      </c>
      <c r="N494" s="6">
        <v>60494.6986115</v>
      </c>
      <c r="O494" s="6">
        <v>60496.598321</v>
      </c>
      <c r="P494" s="6">
        <v>60499.91802941</v>
      </c>
      <c r="Q494" s="6">
        <v>10</v>
      </c>
      <c r="R494" s="6">
        <v>11</v>
      </c>
      <c r="S494" s="6">
        <v>11</v>
      </c>
      <c r="T494" s="6">
        <v>502.9675140449282</v>
      </c>
      <c r="U494" s="6">
        <v>60494.73891511165</v>
      </c>
      <c r="V494" s="6">
        <v>60566.09835644641</v>
      </c>
      <c r="W494" s="4">
        <v>0</v>
      </c>
      <c r="X494" s="4">
        <v>0</v>
      </c>
      <c r="Y494" s="4">
        <v>0</v>
      </c>
      <c r="Z494" s="4" t="s">
        <v>1131</v>
      </c>
      <c r="AA494" s="4" t="s">
        <v>1132</v>
      </c>
    </row>
    <row r="495" ht="30" customHeight="1" spans="1:27" x14ac:dyDescent="0.25">
      <c r="A495" s="4" t="s">
        <v>146</v>
      </c>
      <c r="B495" s="4" t="s">
        <v>117</v>
      </c>
      <c r="C495" s="4">
        <v>1000</v>
      </c>
      <c r="D495" s="4" t="s">
        <v>109</v>
      </c>
      <c r="E495" s="4">
        <v>13</v>
      </c>
      <c r="F495" s="4">
        <v>62</v>
      </c>
      <c r="G495" s="4">
        <v>690</v>
      </c>
      <c r="H495" s="4">
        <v>353</v>
      </c>
      <c r="I495" s="4">
        <v>629</v>
      </c>
      <c r="J495" s="5">
        <v>0</v>
      </c>
      <c r="K495" s="6">
        <v>502.77139250000005</v>
      </c>
      <c r="L495" s="6">
        <v>504.1247004</v>
      </c>
      <c r="M495" s="6">
        <v>507.2631625</v>
      </c>
      <c r="N495" s="6">
        <v>60494.8255665</v>
      </c>
      <c r="O495" s="6">
        <v>60496.8461619</v>
      </c>
      <c r="P495" s="6">
        <v>60499.193552870005</v>
      </c>
      <c r="Q495" s="6">
        <v>10</v>
      </c>
      <c r="R495" s="6">
        <v>11</v>
      </c>
      <c r="S495" s="6">
        <v>11</v>
      </c>
      <c r="T495" s="6">
        <v>502.9411387260865</v>
      </c>
      <c r="U495" s="6">
        <v>60494.958473505794</v>
      </c>
      <c r="V495" s="6">
        <v>60570.9090443145</v>
      </c>
      <c r="W495" s="4">
        <v>0</v>
      </c>
      <c r="X495" s="4">
        <v>0</v>
      </c>
      <c r="Y495" s="4">
        <v>0</v>
      </c>
      <c r="Z495" s="4" t="s">
        <v>1133</v>
      </c>
      <c r="AA495" s="4" t="s">
        <v>1134</v>
      </c>
    </row>
    <row r="496" ht="30" customHeight="1" spans="1:27" x14ac:dyDescent="0.25">
      <c r="A496" s="4" t="s">
        <v>146</v>
      </c>
      <c r="B496" s="4" t="s">
        <v>117</v>
      </c>
      <c r="C496" s="4">
        <v>1000</v>
      </c>
      <c r="D496" s="4" t="s">
        <v>109</v>
      </c>
      <c r="E496" s="4">
        <v>14</v>
      </c>
      <c r="F496" s="4">
        <v>62</v>
      </c>
      <c r="G496" s="4">
        <v>690</v>
      </c>
      <c r="H496" s="4">
        <v>368</v>
      </c>
      <c r="I496" s="4">
        <v>628</v>
      </c>
      <c r="J496" s="5">
        <v>0</v>
      </c>
      <c r="K496" s="6">
        <v>502.809943</v>
      </c>
      <c r="L496" s="6">
        <v>504.0853387</v>
      </c>
      <c r="M496" s="6">
        <v>508.64979894000004</v>
      </c>
      <c r="N496" s="6">
        <v>60495.032197</v>
      </c>
      <c r="O496" s="6">
        <v>60497.3845721</v>
      </c>
      <c r="P496" s="6">
        <v>60501.71648626</v>
      </c>
      <c r="Q496" s="6">
        <v>10</v>
      </c>
      <c r="R496" s="6">
        <v>11</v>
      </c>
      <c r="S496" s="6">
        <v>11</v>
      </c>
      <c r="T496" s="6">
        <v>502.93879565507297</v>
      </c>
      <c r="U496" s="6">
        <v>60495.17139091744</v>
      </c>
      <c r="V496" s="6">
        <v>60575.52495968123</v>
      </c>
      <c r="W496" s="4">
        <v>0</v>
      </c>
      <c r="X496" s="4">
        <v>0</v>
      </c>
      <c r="Y496" s="4">
        <v>0</v>
      </c>
      <c r="Z496" s="4" t="s">
        <v>1135</v>
      </c>
      <c r="AA496" s="4" t="s">
        <v>1136</v>
      </c>
    </row>
    <row r="497" ht="30" customHeight="1" spans="1:27" x14ac:dyDescent="0.25">
      <c r="A497" s="4" t="s">
        <v>146</v>
      </c>
      <c r="B497" s="4" t="s">
        <v>117</v>
      </c>
      <c r="C497" s="4">
        <v>1000</v>
      </c>
      <c r="D497" s="4" t="s">
        <v>109</v>
      </c>
      <c r="E497" s="4">
        <v>15</v>
      </c>
      <c r="F497" s="4">
        <v>62</v>
      </c>
      <c r="G497" s="4">
        <v>690</v>
      </c>
      <c r="H497" s="4">
        <v>345</v>
      </c>
      <c r="I497" s="4">
        <v>628</v>
      </c>
      <c r="J497" s="5">
        <v>0</v>
      </c>
      <c r="K497" s="6">
        <v>502.7786675</v>
      </c>
      <c r="L497" s="6">
        <v>504.14338300000003</v>
      </c>
      <c r="M497" s="6">
        <v>506.24744656999997</v>
      </c>
      <c r="N497" s="6">
        <v>60494.823728999996</v>
      </c>
      <c r="O497" s="6">
        <v>60496.8005462</v>
      </c>
      <c r="P497" s="6">
        <v>60500.12877677</v>
      </c>
      <c r="Q497" s="6">
        <v>10</v>
      </c>
      <c r="R497" s="6">
        <v>11</v>
      </c>
      <c r="S497" s="6">
        <v>11</v>
      </c>
      <c r="T497" s="6">
        <v>502.9668761478262</v>
      </c>
      <c r="U497" s="6">
        <v>60494.85630310869</v>
      </c>
      <c r="V497" s="6">
        <v>60567.739992766656</v>
      </c>
      <c r="W497" s="4">
        <v>0</v>
      </c>
      <c r="X497" s="4">
        <v>0</v>
      </c>
      <c r="Y497" s="4">
        <v>0</v>
      </c>
      <c r="Z497" s="4" t="s">
        <v>1137</v>
      </c>
      <c r="AA497" s="4" t="s">
        <v>1138</v>
      </c>
    </row>
    <row r="498" ht="30" customHeight="1" spans="1:27" x14ac:dyDescent="0.25">
      <c r="A498" s="4" t="s">
        <v>146</v>
      </c>
      <c r="B498" s="4" t="s">
        <v>117</v>
      </c>
      <c r="C498" s="4">
        <v>2000</v>
      </c>
      <c r="D498" s="4" t="s">
        <v>109</v>
      </c>
      <c r="E498" s="4">
        <v>0</v>
      </c>
      <c r="F498" s="4">
        <v>125</v>
      </c>
      <c r="G498" s="4">
        <v>1390</v>
      </c>
      <c r="H498" s="4">
        <v>699</v>
      </c>
      <c r="I498" s="4">
        <v>1265</v>
      </c>
      <c r="J498" s="5">
        <v>0</v>
      </c>
      <c r="K498" s="6">
        <v>502.1075325</v>
      </c>
      <c r="L498" s="6">
        <v>503.1347351</v>
      </c>
      <c r="M498" s="6">
        <v>505.32702940999997</v>
      </c>
      <c r="N498" s="6">
        <v>60494.635294499996</v>
      </c>
      <c r="O498" s="6">
        <v>60496.1471341</v>
      </c>
      <c r="P498" s="6">
        <v>60497.84023213</v>
      </c>
      <c r="Q498" s="6">
        <v>10</v>
      </c>
      <c r="R498" s="6">
        <v>11</v>
      </c>
      <c r="S498" s="6">
        <v>11</v>
      </c>
      <c r="T498" s="6">
        <v>502.25645071295014</v>
      </c>
      <c r="U498" s="6">
        <v>60494.463256790696</v>
      </c>
      <c r="V498" s="6">
        <v>60568.179845824474</v>
      </c>
      <c r="W498" s="4">
        <v>0</v>
      </c>
      <c r="X498" s="4">
        <v>0</v>
      </c>
      <c r="Y498" s="4">
        <v>0</v>
      </c>
      <c r="Z498" s="4" t="s">
        <v>1139</v>
      </c>
      <c r="AA498" s="4" t="s">
        <v>1140</v>
      </c>
    </row>
    <row r="499" ht="30" customHeight="1" spans="1:27" x14ac:dyDescent="0.25">
      <c r="A499" s="4" t="s">
        <v>146</v>
      </c>
      <c r="B499" s="4" t="s">
        <v>117</v>
      </c>
      <c r="C499" s="4">
        <v>2000</v>
      </c>
      <c r="D499" s="4" t="s">
        <v>109</v>
      </c>
      <c r="E499" s="4">
        <v>1</v>
      </c>
      <c r="F499" s="4">
        <v>125</v>
      </c>
      <c r="G499" s="4">
        <v>1392</v>
      </c>
      <c r="H499" s="4">
        <v>725</v>
      </c>
      <c r="I499" s="4">
        <v>1267</v>
      </c>
      <c r="J499" s="5">
        <v>0</v>
      </c>
      <c r="K499" s="6">
        <v>502.08492349999995</v>
      </c>
      <c r="L499" s="6">
        <v>503.2394418</v>
      </c>
      <c r="M499" s="6">
        <v>505.86750956</v>
      </c>
      <c r="N499" s="6">
        <v>60494.6086975</v>
      </c>
      <c r="O499" s="6">
        <v>60496.2497582</v>
      </c>
      <c r="P499" s="6">
        <v>60497.8640676</v>
      </c>
      <c r="Q499" s="6">
        <v>10</v>
      </c>
      <c r="R499" s="6">
        <v>11</v>
      </c>
      <c r="S499" s="6">
        <v>11</v>
      </c>
      <c r="T499" s="6">
        <v>502.647818797414</v>
      </c>
      <c r="U499" s="6">
        <v>60494.85378372988</v>
      </c>
      <c r="V499" s="6">
        <v>60570.45389751793</v>
      </c>
      <c r="W499" s="4">
        <v>0</v>
      </c>
      <c r="X499" s="4">
        <v>0</v>
      </c>
      <c r="Y499" s="4">
        <v>0</v>
      </c>
      <c r="Z499" s="4" t="s">
        <v>1141</v>
      </c>
      <c r="AA499" s="4" t="s">
        <v>1142</v>
      </c>
    </row>
    <row r="500" ht="30" customHeight="1" spans="1:27" x14ac:dyDescent="0.25">
      <c r="A500" s="4" t="s">
        <v>146</v>
      </c>
      <c r="B500" s="4" t="s">
        <v>117</v>
      </c>
      <c r="C500" s="4">
        <v>2000</v>
      </c>
      <c r="D500" s="4" t="s">
        <v>109</v>
      </c>
      <c r="E500" s="4">
        <v>2</v>
      </c>
      <c r="F500" s="4">
        <v>125</v>
      </c>
      <c r="G500" s="4">
        <v>1391</v>
      </c>
      <c r="H500" s="4">
        <v>706</v>
      </c>
      <c r="I500" s="4">
        <v>1266</v>
      </c>
      <c r="J500" s="5">
        <v>0</v>
      </c>
      <c r="K500" s="6">
        <v>502.183157</v>
      </c>
      <c r="L500" s="6">
        <v>503.274114</v>
      </c>
      <c r="M500" s="6">
        <v>504.9484974</v>
      </c>
      <c r="N500" s="6">
        <v>60494.637722</v>
      </c>
      <c r="O500" s="6">
        <v>60496.216359</v>
      </c>
      <c r="P500" s="6">
        <v>60498.795793799996</v>
      </c>
      <c r="Q500" s="6">
        <v>10</v>
      </c>
      <c r="R500" s="6">
        <v>11</v>
      </c>
      <c r="S500" s="6">
        <v>11</v>
      </c>
      <c r="T500" s="6">
        <v>502.65970859741225</v>
      </c>
      <c r="U500" s="6">
        <v>60494.85001550755</v>
      </c>
      <c r="V500" s="6">
        <v>60567.50341150113</v>
      </c>
      <c r="W500" s="4">
        <v>0</v>
      </c>
      <c r="X500" s="4">
        <v>0</v>
      </c>
      <c r="Y500" s="4">
        <v>0</v>
      </c>
      <c r="Z500" s="4" t="s">
        <v>1143</v>
      </c>
      <c r="AA500" s="4" t="s">
        <v>1144</v>
      </c>
    </row>
    <row r="501" ht="30" customHeight="1" spans="1:27" x14ac:dyDescent="0.25">
      <c r="A501" s="4" t="s">
        <v>146</v>
      </c>
      <c r="B501" s="4" t="s">
        <v>117</v>
      </c>
      <c r="C501" s="4">
        <v>2000</v>
      </c>
      <c r="D501" s="4" t="s">
        <v>109</v>
      </c>
      <c r="E501" s="4">
        <v>3</v>
      </c>
      <c r="F501" s="4">
        <v>125</v>
      </c>
      <c r="G501" s="4">
        <v>1390</v>
      </c>
      <c r="H501" s="4">
        <v>721</v>
      </c>
      <c r="I501" s="4">
        <v>1265</v>
      </c>
      <c r="J501" s="5">
        <v>0</v>
      </c>
      <c r="K501" s="6">
        <v>502.083309</v>
      </c>
      <c r="L501" s="6">
        <v>503.21988280000005</v>
      </c>
      <c r="M501" s="6">
        <v>505.04227767</v>
      </c>
      <c r="N501" s="6">
        <v>60494.630952</v>
      </c>
      <c r="O501" s="6">
        <v>60496.137551</v>
      </c>
      <c r="P501" s="6">
        <v>60497.87579025</v>
      </c>
      <c r="Q501" s="6">
        <v>10</v>
      </c>
      <c r="R501" s="6">
        <v>11</v>
      </c>
      <c r="S501" s="6">
        <v>11</v>
      </c>
      <c r="T501" s="6">
        <v>502.26419865467557</v>
      </c>
      <c r="U501" s="6">
        <v>60494.45877222946</v>
      </c>
      <c r="V501" s="6">
        <v>60569.92315455456</v>
      </c>
      <c r="W501" s="4">
        <v>0</v>
      </c>
      <c r="X501" s="4">
        <v>0</v>
      </c>
      <c r="Y501" s="4">
        <v>0</v>
      </c>
      <c r="Z501" s="4" t="s">
        <v>1145</v>
      </c>
      <c r="AA501" s="4" t="s">
        <v>1146</v>
      </c>
    </row>
    <row r="502" ht="30" customHeight="1" spans="1:27" x14ac:dyDescent="0.25">
      <c r="A502" s="4" t="s">
        <v>146</v>
      </c>
      <c r="B502" s="4" t="s">
        <v>117</v>
      </c>
      <c r="C502" s="4">
        <v>2000</v>
      </c>
      <c r="D502" s="4" t="s">
        <v>109</v>
      </c>
      <c r="E502" s="4">
        <v>4</v>
      </c>
      <c r="F502" s="4">
        <v>125</v>
      </c>
      <c r="G502" s="4">
        <v>1392</v>
      </c>
      <c r="H502" s="4">
        <v>686</v>
      </c>
      <c r="I502" s="4">
        <v>1267</v>
      </c>
      <c r="J502" s="5">
        <v>0</v>
      </c>
      <c r="K502" s="6">
        <v>502.14040750000004</v>
      </c>
      <c r="L502" s="6">
        <v>503.199514</v>
      </c>
      <c r="M502" s="6">
        <v>505.57043087</v>
      </c>
      <c r="N502" s="6">
        <v>60494.520147999996</v>
      </c>
      <c r="O502" s="6">
        <v>60496.1970621</v>
      </c>
      <c r="P502" s="6">
        <v>60498.35589651</v>
      </c>
      <c r="Q502" s="6">
        <v>10</v>
      </c>
      <c r="R502" s="6">
        <v>11</v>
      </c>
      <c r="S502" s="6">
        <v>11</v>
      </c>
      <c r="T502" s="6">
        <v>502.2729419173847</v>
      </c>
      <c r="U502" s="6">
        <v>60494.520887685365</v>
      </c>
      <c r="V502" s="6">
        <v>60564.71946700435</v>
      </c>
      <c r="W502" s="4">
        <v>0</v>
      </c>
      <c r="X502" s="4">
        <v>0</v>
      </c>
      <c r="Y502" s="4">
        <v>0</v>
      </c>
      <c r="Z502" s="4" t="s">
        <v>1147</v>
      </c>
      <c r="AA502" s="4" t="s">
        <v>1148</v>
      </c>
    </row>
    <row r="503" ht="30" customHeight="1" spans="1:27" x14ac:dyDescent="0.25">
      <c r="A503" s="4" t="s">
        <v>146</v>
      </c>
      <c r="B503" s="4" t="s">
        <v>117</v>
      </c>
      <c r="C503" s="4">
        <v>2000</v>
      </c>
      <c r="D503" s="4" t="s">
        <v>109</v>
      </c>
      <c r="E503" s="4">
        <v>5</v>
      </c>
      <c r="F503" s="4">
        <v>125</v>
      </c>
      <c r="G503" s="4">
        <v>1391</v>
      </c>
      <c r="H503" s="4">
        <v>718</v>
      </c>
      <c r="I503" s="4">
        <v>1266</v>
      </c>
      <c r="J503" s="5">
        <v>0</v>
      </c>
      <c r="K503" s="6">
        <v>502.108608</v>
      </c>
      <c r="L503" s="6">
        <v>503.180451</v>
      </c>
      <c r="M503" s="6">
        <v>505.6458735</v>
      </c>
      <c r="N503" s="6">
        <v>60494.635617</v>
      </c>
      <c r="O503" s="6">
        <v>60496.181076</v>
      </c>
      <c r="P503" s="6">
        <v>60498.6255646</v>
      </c>
      <c r="Q503" s="6">
        <v>10</v>
      </c>
      <c r="R503" s="6">
        <v>11</v>
      </c>
      <c r="S503" s="6">
        <v>11</v>
      </c>
      <c r="T503" s="6">
        <v>502.28192743062436</v>
      </c>
      <c r="U503" s="6">
        <v>60494.50858357793</v>
      </c>
      <c r="V503" s="6">
        <v>60568.12267542557</v>
      </c>
      <c r="W503" s="4">
        <v>0</v>
      </c>
      <c r="X503" s="4">
        <v>0</v>
      </c>
      <c r="Y503" s="4">
        <v>0</v>
      </c>
      <c r="Z503" s="4" t="s">
        <v>1149</v>
      </c>
      <c r="AA503" s="4" t="s">
        <v>1150</v>
      </c>
    </row>
    <row r="504" ht="30" customHeight="1" spans="1:27" x14ac:dyDescent="0.25">
      <c r="A504" s="4" t="s">
        <v>146</v>
      </c>
      <c r="B504" s="4" t="s">
        <v>117</v>
      </c>
      <c r="C504" s="4">
        <v>2000</v>
      </c>
      <c r="D504" s="4" t="s">
        <v>109</v>
      </c>
      <c r="E504" s="4">
        <v>6</v>
      </c>
      <c r="F504" s="4">
        <v>125</v>
      </c>
      <c r="G504" s="4">
        <v>1390</v>
      </c>
      <c r="H504" s="4">
        <v>704</v>
      </c>
      <c r="I504" s="4">
        <v>1267</v>
      </c>
      <c r="J504" s="5">
        <v>0</v>
      </c>
      <c r="K504" s="6">
        <v>502.1055695</v>
      </c>
      <c r="L504" s="6">
        <v>503.1551234</v>
      </c>
      <c r="M504" s="6">
        <v>505.22545005</v>
      </c>
      <c r="N504" s="6">
        <v>60494.743197</v>
      </c>
      <c r="O504" s="6">
        <v>60496.8449088</v>
      </c>
      <c r="P504" s="6">
        <v>60500.03489602</v>
      </c>
      <c r="Q504" s="6">
        <v>10</v>
      </c>
      <c r="R504" s="6">
        <v>11</v>
      </c>
      <c r="S504" s="6">
        <v>11</v>
      </c>
      <c r="T504" s="6">
        <v>502.2691719892073</v>
      </c>
      <c r="U504" s="6">
        <v>60494.77684391586</v>
      </c>
      <c r="V504" s="6">
        <v>60570.27402829209</v>
      </c>
      <c r="W504" s="4">
        <v>0</v>
      </c>
      <c r="X504" s="4">
        <v>0</v>
      </c>
      <c r="Y504" s="4">
        <v>0</v>
      </c>
      <c r="Z504" s="4" t="s">
        <v>1151</v>
      </c>
      <c r="AA504" s="4" t="s">
        <v>1152</v>
      </c>
    </row>
    <row r="505" ht="30" customHeight="1" spans="1:27" x14ac:dyDescent="0.25">
      <c r="A505" s="4" t="s">
        <v>146</v>
      </c>
      <c r="B505" s="4" t="s">
        <v>117</v>
      </c>
      <c r="C505" s="4">
        <v>2000</v>
      </c>
      <c r="D505" s="4" t="s">
        <v>109</v>
      </c>
      <c r="E505" s="4">
        <v>7</v>
      </c>
      <c r="F505" s="4">
        <v>125</v>
      </c>
      <c r="G505" s="4">
        <v>1392</v>
      </c>
      <c r="H505" s="4">
        <v>675</v>
      </c>
      <c r="I505" s="4">
        <v>1267</v>
      </c>
      <c r="J505" s="5">
        <v>0</v>
      </c>
      <c r="K505" s="6">
        <v>502.1135335</v>
      </c>
      <c r="L505" s="6">
        <v>503.1710537</v>
      </c>
      <c r="M505" s="6">
        <v>505.79354699</v>
      </c>
      <c r="N505" s="6">
        <v>60494.4133505</v>
      </c>
      <c r="O505" s="6">
        <v>60496.1936016</v>
      </c>
      <c r="P505" s="6">
        <v>60498.576129940004</v>
      </c>
      <c r="Q505" s="6">
        <v>10</v>
      </c>
      <c r="R505" s="6">
        <v>11</v>
      </c>
      <c r="S505" s="6">
        <v>11</v>
      </c>
      <c r="T505" s="6">
        <v>502.2728849245697</v>
      </c>
      <c r="U505" s="6">
        <v>60494.45041503221</v>
      </c>
      <c r="V505" s="6">
        <v>60565.0483907853</v>
      </c>
      <c r="W505" s="4">
        <v>0</v>
      </c>
      <c r="X505" s="4">
        <v>0</v>
      </c>
      <c r="Y505" s="4">
        <v>0</v>
      </c>
      <c r="Z505" s="4" t="s">
        <v>1153</v>
      </c>
      <c r="AA505" s="4" t="s">
        <v>1154</v>
      </c>
    </row>
    <row r="506" ht="30" customHeight="1" spans="1:27" x14ac:dyDescent="0.25">
      <c r="A506" s="4" t="s">
        <v>146</v>
      </c>
      <c r="B506" s="4" t="s">
        <v>117</v>
      </c>
      <c r="C506" s="4">
        <v>2000</v>
      </c>
      <c r="D506" s="4" t="s">
        <v>109</v>
      </c>
      <c r="E506" s="4">
        <v>8</v>
      </c>
      <c r="F506" s="4">
        <v>125</v>
      </c>
      <c r="G506" s="4">
        <v>1391</v>
      </c>
      <c r="H506" s="4">
        <v>711</v>
      </c>
      <c r="I506" s="4">
        <v>1266</v>
      </c>
      <c r="J506" s="5">
        <v>0</v>
      </c>
      <c r="K506" s="6">
        <v>502.124465</v>
      </c>
      <c r="L506" s="6">
        <v>503.124237</v>
      </c>
      <c r="M506" s="6">
        <v>505.3017438</v>
      </c>
      <c r="N506" s="6">
        <v>60494.595146</v>
      </c>
      <c r="O506" s="6">
        <v>60496.231913</v>
      </c>
      <c r="P506" s="6">
        <v>60497.9736607</v>
      </c>
      <c r="Q506" s="6">
        <v>10</v>
      </c>
      <c r="R506" s="6">
        <v>11</v>
      </c>
      <c r="S506" s="6">
        <v>11</v>
      </c>
      <c r="T506" s="6">
        <v>502.24258703522634</v>
      </c>
      <c r="U506" s="6">
        <v>60494.495998638515</v>
      </c>
      <c r="V506" s="6">
        <v>60568.8072374946</v>
      </c>
      <c r="W506" s="4">
        <v>0</v>
      </c>
      <c r="X506" s="4">
        <v>0</v>
      </c>
      <c r="Y506" s="4">
        <v>0</v>
      </c>
      <c r="Z506" s="4" t="s">
        <v>1155</v>
      </c>
      <c r="AA506" s="4" t="s">
        <v>1156</v>
      </c>
    </row>
    <row r="507" ht="30" customHeight="1" spans="1:27" x14ac:dyDescent="0.25">
      <c r="A507" s="4" t="s">
        <v>146</v>
      </c>
      <c r="B507" s="4" t="s">
        <v>117</v>
      </c>
      <c r="C507" s="4">
        <v>2000</v>
      </c>
      <c r="D507" s="4" t="s">
        <v>109</v>
      </c>
      <c r="E507" s="4">
        <v>9</v>
      </c>
      <c r="F507" s="4">
        <v>125</v>
      </c>
      <c r="G507" s="4">
        <v>1391</v>
      </c>
      <c r="H507" s="4">
        <v>692</v>
      </c>
      <c r="I507" s="4">
        <v>1267</v>
      </c>
      <c r="J507" s="5">
        <v>0</v>
      </c>
      <c r="K507" s="6">
        <v>502.08194</v>
      </c>
      <c r="L507" s="6">
        <v>503.078734</v>
      </c>
      <c r="M507" s="6">
        <v>505.4998271999999</v>
      </c>
      <c r="N507" s="6">
        <v>60494.561118</v>
      </c>
      <c r="O507" s="6">
        <v>60496.181846</v>
      </c>
      <c r="P507" s="6">
        <v>60498.2612035</v>
      </c>
      <c r="Q507" s="6">
        <v>10</v>
      </c>
      <c r="R507" s="6">
        <v>11</v>
      </c>
      <c r="S507" s="6">
        <v>11</v>
      </c>
      <c r="T507" s="6">
        <v>502.2278397318464</v>
      </c>
      <c r="U507" s="6">
        <v>60494.51755793307</v>
      </c>
      <c r="V507" s="6">
        <v>60567.178103631995</v>
      </c>
      <c r="W507" s="4">
        <v>0</v>
      </c>
      <c r="X507" s="4">
        <v>0</v>
      </c>
      <c r="Y507" s="4">
        <v>0</v>
      </c>
      <c r="Z507" s="4" t="s">
        <v>1157</v>
      </c>
      <c r="AA507" s="4" t="s">
        <v>1158</v>
      </c>
    </row>
    <row r="508" ht="30" customHeight="1" spans="1:27" x14ac:dyDescent="0.25">
      <c r="A508" s="4" t="s">
        <v>146</v>
      </c>
      <c r="B508" s="4" t="s">
        <v>117</v>
      </c>
      <c r="C508" s="4">
        <v>2000</v>
      </c>
      <c r="D508" s="4" t="s">
        <v>109</v>
      </c>
      <c r="E508" s="4">
        <v>10</v>
      </c>
      <c r="F508" s="4">
        <v>125</v>
      </c>
      <c r="G508" s="4">
        <v>1392</v>
      </c>
      <c r="H508" s="4">
        <v>692</v>
      </c>
      <c r="I508" s="4">
        <v>1267</v>
      </c>
      <c r="J508" s="5">
        <v>0</v>
      </c>
      <c r="K508" s="6">
        <v>502.07826250000005</v>
      </c>
      <c r="L508" s="6">
        <v>503.1775573</v>
      </c>
      <c r="M508" s="6">
        <v>507.17878658</v>
      </c>
      <c r="N508" s="6">
        <v>60494.4629915</v>
      </c>
      <c r="O508" s="6">
        <v>60496.1258221</v>
      </c>
      <c r="P508" s="6">
        <v>60497.76700711</v>
      </c>
      <c r="Q508" s="6">
        <v>10</v>
      </c>
      <c r="R508" s="6">
        <v>11</v>
      </c>
      <c r="S508" s="6">
        <v>11</v>
      </c>
      <c r="T508" s="6">
        <v>502.2777470905174</v>
      </c>
      <c r="U508" s="6">
        <v>60494.430862190355</v>
      </c>
      <c r="V508" s="6">
        <v>60566.63259885204</v>
      </c>
      <c r="W508" s="4">
        <v>0</v>
      </c>
      <c r="X508" s="4">
        <v>0</v>
      </c>
      <c r="Y508" s="4">
        <v>0</v>
      </c>
      <c r="Z508" s="4" t="s">
        <v>1159</v>
      </c>
      <c r="AA508" s="4" t="s">
        <v>1160</v>
      </c>
    </row>
    <row r="509" ht="30" customHeight="1" spans="1:27" x14ac:dyDescent="0.25">
      <c r="A509" s="4" t="s">
        <v>146</v>
      </c>
      <c r="B509" s="4" t="s">
        <v>117</v>
      </c>
      <c r="C509" s="4">
        <v>2000</v>
      </c>
      <c r="D509" s="4" t="s">
        <v>109</v>
      </c>
      <c r="E509" s="4">
        <v>11</v>
      </c>
      <c r="F509" s="4">
        <v>125</v>
      </c>
      <c r="G509" s="4">
        <v>1392</v>
      </c>
      <c r="H509" s="4">
        <v>705</v>
      </c>
      <c r="I509" s="4">
        <v>1267</v>
      </c>
      <c r="J509" s="5">
        <v>0</v>
      </c>
      <c r="K509" s="6">
        <v>502.0893495</v>
      </c>
      <c r="L509" s="6">
        <v>503.2083071</v>
      </c>
      <c r="M509" s="6">
        <v>505.86470433999995</v>
      </c>
      <c r="N509" s="6">
        <v>60494.599675499994</v>
      </c>
      <c r="O509" s="6">
        <v>60496.314765400006</v>
      </c>
      <c r="P509" s="6">
        <v>60498.67425964</v>
      </c>
      <c r="Q509" s="6">
        <v>10</v>
      </c>
      <c r="R509" s="6">
        <v>11</v>
      </c>
      <c r="S509" s="6">
        <v>11</v>
      </c>
      <c r="T509" s="6">
        <v>502.23926748060256</v>
      </c>
      <c r="U509" s="6">
        <v>60494.551200426744</v>
      </c>
      <c r="V509" s="6">
        <v>60568.048279146526</v>
      </c>
      <c r="W509" s="4">
        <v>0</v>
      </c>
      <c r="X509" s="4">
        <v>0</v>
      </c>
      <c r="Y509" s="4">
        <v>0</v>
      </c>
      <c r="Z509" s="4" t="s">
        <v>1161</v>
      </c>
      <c r="AA509" s="4" t="s">
        <v>1162</v>
      </c>
    </row>
    <row r="510" ht="30" customHeight="1" spans="1:27" x14ac:dyDescent="0.25">
      <c r="A510" s="4" t="s">
        <v>146</v>
      </c>
      <c r="B510" s="4" t="s">
        <v>117</v>
      </c>
      <c r="C510" s="4">
        <v>2000</v>
      </c>
      <c r="D510" s="4" t="s">
        <v>109</v>
      </c>
      <c r="E510" s="4">
        <v>12</v>
      </c>
      <c r="F510" s="4">
        <v>125</v>
      </c>
      <c r="G510" s="4">
        <v>1392</v>
      </c>
      <c r="H510" s="4">
        <v>685</v>
      </c>
      <c r="I510" s="4">
        <v>1267</v>
      </c>
      <c r="J510" s="5">
        <v>0</v>
      </c>
      <c r="K510" s="6">
        <v>502.1184825</v>
      </c>
      <c r="L510" s="6">
        <v>503.1552621</v>
      </c>
      <c r="M510" s="6">
        <v>504.58526739</v>
      </c>
      <c r="N510" s="6">
        <v>60494.544913000005</v>
      </c>
      <c r="O510" s="6">
        <v>60496.216523300005</v>
      </c>
      <c r="P510" s="6">
        <v>60498.73480319</v>
      </c>
      <c r="Q510" s="6">
        <v>10</v>
      </c>
      <c r="R510" s="6">
        <v>11</v>
      </c>
      <c r="S510" s="6">
        <v>11</v>
      </c>
      <c r="T510" s="6">
        <v>502.2119743613506</v>
      </c>
      <c r="U510" s="6">
        <v>60494.51005509543</v>
      </c>
      <c r="V510" s="6">
        <v>60566.484729153715</v>
      </c>
      <c r="W510" s="4">
        <v>0</v>
      </c>
      <c r="X510" s="4">
        <v>0</v>
      </c>
      <c r="Y510" s="4">
        <v>0</v>
      </c>
      <c r="Z510" s="4" t="s">
        <v>1163</v>
      </c>
      <c r="AA510" s="4" t="s">
        <v>1164</v>
      </c>
    </row>
    <row r="511" ht="30" customHeight="1" spans="1:27" x14ac:dyDescent="0.25">
      <c r="A511" s="4" t="s">
        <v>146</v>
      </c>
      <c r="B511" s="4" t="s">
        <v>117</v>
      </c>
      <c r="C511" s="4">
        <v>2000</v>
      </c>
      <c r="D511" s="4" t="s">
        <v>109</v>
      </c>
      <c r="E511" s="4">
        <v>13</v>
      </c>
      <c r="F511" s="4">
        <v>125</v>
      </c>
      <c r="G511" s="4">
        <v>1391</v>
      </c>
      <c r="H511" s="4">
        <v>659</v>
      </c>
      <c r="I511" s="4">
        <v>1266</v>
      </c>
      <c r="J511" s="5">
        <v>0</v>
      </c>
      <c r="K511" s="6">
        <v>502.138292</v>
      </c>
      <c r="L511" s="6">
        <v>503.222019</v>
      </c>
      <c r="M511" s="6">
        <v>505.74097159999997</v>
      </c>
      <c r="N511" s="6">
        <v>60494.397241</v>
      </c>
      <c r="O511" s="6">
        <v>60496.155484</v>
      </c>
      <c r="P511" s="6">
        <v>60497.7494485</v>
      </c>
      <c r="Q511" s="6">
        <v>10</v>
      </c>
      <c r="R511" s="6">
        <v>11</v>
      </c>
      <c r="S511" s="6">
        <v>11</v>
      </c>
      <c r="T511" s="6">
        <v>502.2819788554999</v>
      </c>
      <c r="U511" s="6">
        <v>60494.43072363483</v>
      </c>
      <c r="V511" s="6">
        <v>60562.989819496004</v>
      </c>
      <c r="W511" s="4">
        <v>0</v>
      </c>
      <c r="X511" s="4">
        <v>0</v>
      </c>
      <c r="Y511" s="4">
        <v>0</v>
      </c>
      <c r="Z511" s="4" t="s">
        <v>1165</v>
      </c>
      <c r="AA511" s="4" t="s">
        <v>1166</v>
      </c>
    </row>
    <row r="512" ht="30" customHeight="1" spans="1:27" x14ac:dyDescent="0.25">
      <c r="A512" s="4" t="s">
        <v>146</v>
      </c>
      <c r="B512" s="4" t="s">
        <v>117</v>
      </c>
      <c r="C512" s="4">
        <v>2000</v>
      </c>
      <c r="D512" s="4" t="s">
        <v>109</v>
      </c>
      <c r="E512" s="4">
        <v>14</v>
      </c>
      <c r="F512" s="4">
        <v>125</v>
      </c>
      <c r="G512" s="4">
        <v>1391</v>
      </c>
      <c r="H512" s="4">
        <v>673</v>
      </c>
      <c r="I512" s="4">
        <v>1266</v>
      </c>
      <c r="J512" s="5">
        <v>0</v>
      </c>
      <c r="K512" s="6">
        <v>502.108536</v>
      </c>
      <c r="L512" s="6">
        <v>503.171804</v>
      </c>
      <c r="M512" s="6">
        <v>504.7182808</v>
      </c>
      <c r="N512" s="6">
        <v>60494.463631</v>
      </c>
      <c r="O512" s="6">
        <v>60496.297813</v>
      </c>
      <c r="P512" s="6">
        <v>60499.8241759</v>
      </c>
      <c r="Q512" s="6">
        <v>10</v>
      </c>
      <c r="R512" s="6">
        <v>11</v>
      </c>
      <c r="S512" s="6">
        <v>11</v>
      </c>
      <c r="T512" s="6">
        <v>502.2384360222864</v>
      </c>
      <c r="U512" s="6">
        <v>60494.52205310361</v>
      </c>
      <c r="V512" s="6">
        <v>60564.557189278865</v>
      </c>
      <c r="W512" s="4">
        <v>0</v>
      </c>
      <c r="X512" s="4">
        <v>0</v>
      </c>
      <c r="Y512" s="4">
        <v>0</v>
      </c>
      <c r="Z512" s="4" t="s">
        <v>1167</v>
      </c>
      <c r="AA512" s="4" t="s">
        <v>1168</v>
      </c>
    </row>
    <row r="513" ht="30" customHeight="1" spans="1:27" x14ac:dyDescent="0.25">
      <c r="A513" s="4" t="s">
        <v>146</v>
      </c>
      <c r="B513" s="4" t="s">
        <v>117</v>
      </c>
      <c r="C513" s="4">
        <v>2000</v>
      </c>
      <c r="D513" s="4" t="s">
        <v>109</v>
      </c>
      <c r="E513" s="4">
        <v>15</v>
      </c>
      <c r="F513" s="4">
        <v>125</v>
      </c>
      <c r="G513" s="4">
        <v>1391</v>
      </c>
      <c r="H513" s="4">
        <v>669</v>
      </c>
      <c r="I513" s="4">
        <v>1266</v>
      </c>
      <c r="J513" s="5">
        <v>0</v>
      </c>
      <c r="K513" s="6">
        <v>502.111239</v>
      </c>
      <c r="L513" s="6">
        <v>503.138967</v>
      </c>
      <c r="M513" s="6">
        <v>504.99379319999997</v>
      </c>
      <c r="N513" s="6">
        <v>60494.421322</v>
      </c>
      <c r="O513" s="6">
        <v>60496.183453</v>
      </c>
      <c r="P513" s="6">
        <v>60498.241613599996</v>
      </c>
      <c r="Q513" s="6">
        <v>10</v>
      </c>
      <c r="R513" s="6">
        <v>11</v>
      </c>
      <c r="S513" s="6">
        <v>11</v>
      </c>
      <c r="T513" s="6">
        <v>502.2595316491732</v>
      </c>
      <c r="U513" s="6">
        <v>60494.46729930836</v>
      </c>
      <c r="V513" s="6">
        <v>60564.04070626024</v>
      </c>
      <c r="W513" s="4">
        <v>0</v>
      </c>
      <c r="X513" s="4">
        <v>0</v>
      </c>
      <c r="Y513" s="4">
        <v>0</v>
      </c>
      <c r="Z513" s="4" t="s">
        <v>1169</v>
      </c>
      <c r="AA513" s="4" t="s">
        <v>1170</v>
      </c>
    </row>
    <row r="514" ht="30" customHeight="1" spans="1:27" x14ac:dyDescent="0.25">
      <c r="A514" s="4" t="s">
        <v>146</v>
      </c>
      <c r="B514" s="4" t="s">
        <v>117</v>
      </c>
      <c r="C514" s="4">
        <v>5000</v>
      </c>
      <c r="D514" s="4" t="s">
        <v>109</v>
      </c>
      <c r="E514" s="4">
        <v>0</v>
      </c>
      <c r="F514" s="4">
        <v>313</v>
      </c>
      <c r="G514" s="4">
        <v>3483</v>
      </c>
      <c r="H514" s="4">
        <v>1779</v>
      </c>
      <c r="I514" s="4">
        <v>3172</v>
      </c>
      <c r="J514" s="5">
        <v>0</v>
      </c>
      <c r="K514" s="6">
        <v>502.096006</v>
      </c>
      <c r="L514" s="6">
        <v>502.879442</v>
      </c>
      <c r="M514" s="6">
        <v>507.286022</v>
      </c>
      <c r="N514" s="6">
        <v>60494.728213</v>
      </c>
      <c r="O514" s="6">
        <v>60496.4499538</v>
      </c>
      <c r="P514" s="6">
        <v>60499.19323296</v>
      </c>
      <c r="Q514" s="6">
        <v>10</v>
      </c>
      <c r="R514" s="6">
        <v>11</v>
      </c>
      <c r="S514" s="6">
        <v>11</v>
      </c>
      <c r="T514" s="6">
        <v>502.26788081251766</v>
      </c>
      <c r="U514" s="6">
        <v>60494.7708811868</v>
      </c>
      <c r="V514" s="6">
        <v>60570.61253510559</v>
      </c>
      <c r="W514" s="4">
        <v>0</v>
      </c>
      <c r="X514" s="4">
        <v>0</v>
      </c>
      <c r="Y514" s="4">
        <v>0</v>
      </c>
      <c r="Z514" s="4" t="s">
        <v>1171</v>
      </c>
      <c r="AA514" s="4" t="s">
        <v>1172</v>
      </c>
    </row>
    <row r="515" ht="30" customHeight="1" spans="1:27" x14ac:dyDescent="0.25">
      <c r="A515" s="4" t="s">
        <v>146</v>
      </c>
      <c r="B515" s="4" t="s">
        <v>117</v>
      </c>
      <c r="C515" s="4">
        <v>5000</v>
      </c>
      <c r="D515" s="4" t="s">
        <v>109</v>
      </c>
      <c r="E515" s="4">
        <v>1</v>
      </c>
      <c r="F515" s="4">
        <v>313</v>
      </c>
      <c r="G515" s="4">
        <v>3479</v>
      </c>
      <c r="H515" s="4">
        <v>1736</v>
      </c>
      <c r="I515" s="4">
        <v>3168</v>
      </c>
      <c r="J515" s="5">
        <v>0</v>
      </c>
      <c r="K515" s="6">
        <v>502.083873</v>
      </c>
      <c r="L515" s="6">
        <v>502.8868328</v>
      </c>
      <c r="M515" s="6">
        <v>507.81047608</v>
      </c>
      <c r="N515" s="6">
        <v>60494.590515</v>
      </c>
      <c r="O515" s="6">
        <v>60496.3302204</v>
      </c>
      <c r="P515" s="6">
        <v>60498.77072948</v>
      </c>
      <c r="Q515" s="6">
        <v>10</v>
      </c>
      <c r="R515" s="6">
        <v>11</v>
      </c>
      <c r="S515" s="6">
        <v>11</v>
      </c>
      <c r="T515" s="6">
        <v>502.44475015349127</v>
      </c>
      <c r="U515" s="6">
        <v>60494.83508301688</v>
      </c>
      <c r="V515" s="6">
        <v>60569.5420064943</v>
      </c>
      <c r="W515" s="4">
        <v>0</v>
      </c>
      <c r="X515" s="4">
        <v>0</v>
      </c>
      <c r="Y515" s="4">
        <v>0</v>
      </c>
      <c r="Z515" s="4" t="s">
        <v>1173</v>
      </c>
      <c r="AA515" s="4" t="s">
        <v>1174</v>
      </c>
    </row>
    <row r="516" ht="30" customHeight="1" spans="1:27" x14ac:dyDescent="0.25">
      <c r="A516" s="4" t="s">
        <v>146</v>
      </c>
      <c r="B516" s="4" t="s">
        <v>117</v>
      </c>
      <c r="C516" s="4">
        <v>5000</v>
      </c>
      <c r="D516" s="4" t="s">
        <v>109</v>
      </c>
      <c r="E516" s="4">
        <v>2</v>
      </c>
      <c r="F516" s="4">
        <v>313</v>
      </c>
      <c r="G516" s="4">
        <v>3480</v>
      </c>
      <c r="H516" s="4">
        <v>1726</v>
      </c>
      <c r="I516" s="4">
        <v>3168</v>
      </c>
      <c r="J516" s="5">
        <v>0</v>
      </c>
      <c r="K516" s="6">
        <v>502.098067</v>
      </c>
      <c r="L516" s="6">
        <v>502.8813688</v>
      </c>
      <c r="M516" s="6">
        <v>506.50542175000004</v>
      </c>
      <c r="N516" s="6">
        <v>60494.572531</v>
      </c>
      <c r="O516" s="6">
        <v>60496.3772344</v>
      </c>
      <c r="P516" s="6">
        <v>60498.88306277</v>
      </c>
      <c r="Q516" s="6">
        <v>10</v>
      </c>
      <c r="R516" s="6">
        <v>11</v>
      </c>
      <c r="S516" s="6">
        <v>11</v>
      </c>
      <c r="T516" s="6">
        <v>502.28573352988377</v>
      </c>
      <c r="U516" s="6">
        <v>60494.67842838852</v>
      </c>
      <c r="V516" s="6">
        <v>60568.708383437195</v>
      </c>
      <c r="W516" s="4">
        <v>0</v>
      </c>
      <c r="X516" s="4">
        <v>0</v>
      </c>
      <c r="Y516" s="4">
        <v>0</v>
      </c>
      <c r="Z516" s="4" t="s">
        <v>1175</v>
      </c>
      <c r="AA516" s="4" t="s">
        <v>1176</v>
      </c>
    </row>
    <row r="517" ht="30" customHeight="1" spans="1:27" x14ac:dyDescent="0.25">
      <c r="A517" s="4" t="s">
        <v>146</v>
      </c>
      <c r="B517" s="4" t="s">
        <v>117</v>
      </c>
      <c r="C517" s="4">
        <v>5000</v>
      </c>
      <c r="D517" s="4" t="s">
        <v>109</v>
      </c>
      <c r="E517" s="4">
        <v>3</v>
      </c>
      <c r="F517" s="4">
        <v>313</v>
      </c>
      <c r="G517" s="4">
        <v>3481</v>
      </c>
      <c r="H517" s="4">
        <v>1700</v>
      </c>
      <c r="I517" s="4">
        <v>3169</v>
      </c>
      <c r="J517" s="5">
        <v>0</v>
      </c>
      <c r="K517" s="6">
        <v>502.069948</v>
      </c>
      <c r="L517" s="6">
        <v>502.816473</v>
      </c>
      <c r="M517" s="6">
        <v>507.129259</v>
      </c>
      <c r="N517" s="6">
        <v>60494.485491</v>
      </c>
      <c r="O517" s="6">
        <v>60496.330234</v>
      </c>
      <c r="P517" s="6">
        <v>60498.443268200004</v>
      </c>
      <c r="Q517" s="6">
        <v>10</v>
      </c>
      <c r="R517" s="6">
        <v>11</v>
      </c>
      <c r="S517" s="6">
        <v>11</v>
      </c>
      <c r="T517" s="6">
        <v>502.27322367279515</v>
      </c>
      <c r="U517" s="6">
        <v>60494.65040949858</v>
      </c>
      <c r="V517" s="6">
        <v>60568.54388568389</v>
      </c>
      <c r="W517" s="4">
        <v>0</v>
      </c>
      <c r="X517" s="4">
        <v>0</v>
      </c>
      <c r="Y517" s="4">
        <v>0</v>
      </c>
      <c r="Z517" s="4" t="s">
        <v>1177</v>
      </c>
      <c r="AA517" s="4" t="s">
        <v>1178</v>
      </c>
    </row>
    <row r="518" ht="30" customHeight="1" spans="1:27" x14ac:dyDescent="0.25">
      <c r="A518" s="4" t="s">
        <v>146</v>
      </c>
      <c r="B518" s="4" t="s">
        <v>117</v>
      </c>
      <c r="C518" s="4">
        <v>5000</v>
      </c>
      <c r="D518" s="4" t="s">
        <v>109</v>
      </c>
      <c r="E518" s="4">
        <v>4</v>
      </c>
      <c r="F518" s="4">
        <v>313</v>
      </c>
      <c r="G518" s="4">
        <v>3484</v>
      </c>
      <c r="H518" s="4">
        <v>1727</v>
      </c>
      <c r="I518" s="4">
        <v>3171</v>
      </c>
      <c r="J518" s="5">
        <v>0</v>
      </c>
      <c r="K518" s="6">
        <v>502.078355</v>
      </c>
      <c r="L518" s="6">
        <v>502.8967151</v>
      </c>
      <c r="M518" s="6">
        <v>505.74577084</v>
      </c>
      <c r="N518" s="6">
        <v>60494.5183755</v>
      </c>
      <c r="O518" s="6">
        <v>60496.3541772</v>
      </c>
      <c r="P518" s="6">
        <v>60498.67861882</v>
      </c>
      <c r="Q518" s="6">
        <v>10</v>
      </c>
      <c r="R518" s="6">
        <v>11</v>
      </c>
      <c r="S518" s="6">
        <v>11</v>
      </c>
      <c r="T518" s="6">
        <v>502.26202591389176</v>
      </c>
      <c r="U518" s="6">
        <v>60494.68748670827</v>
      </c>
      <c r="V518" s="6">
        <v>60568.28839559257</v>
      </c>
      <c r="W518" s="4">
        <v>0</v>
      </c>
      <c r="X518" s="4">
        <v>0</v>
      </c>
      <c r="Y518" s="4">
        <v>0</v>
      </c>
      <c r="Z518" s="4" t="s">
        <v>1179</v>
      </c>
      <c r="AA518" s="4" t="s">
        <v>1180</v>
      </c>
    </row>
    <row r="519" ht="30" customHeight="1" spans="1:27" x14ac:dyDescent="0.25">
      <c r="A519" s="4" t="s">
        <v>146</v>
      </c>
      <c r="B519" s="4" t="s">
        <v>117</v>
      </c>
      <c r="C519" s="4">
        <v>5000</v>
      </c>
      <c r="D519" s="4" t="s">
        <v>109</v>
      </c>
      <c r="E519" s="4">
        <v>5</v>
      </c>
      <c r="F519" s="4">
        <v>313</v>
      </c>
      <c r="G519" s="4">
        <v>3483</v>
      </c>
      <c r="H519" s="4">
        <v>1688</v>
      </c>
      <c r="I519" s="4">
        <v>3170</v>
      </c>
      <c r="J519" s="5">
        <v>0</v>
      </c>
      <c r="K519" s="6">
        <v>502.07915</v>
      </c>
      <c r="L519" s="6">
        <v>502.8447488</v>
      </c>
      <c r="M519" s="6">
        <v>506.07249277999995</v>
      </c>
      <c r="N519" s="6">
        <v>60494.452105</v>
      </c>
      <c r="O519" s="6">
        <v>60496.335327199995</v>
      </c>
      <c r="P519" s="6">
        <v>60498.5669594</v>
      </c>
      <c r="Q519" s="6">
        <v>10</v>
      </c>
      <c r="R519" s="6">
        <v>11</v>
      </c>
      <c r="S519" s="6">
        <v>11</v>
      </c>
      <c r="T519" s="6">
        <v>502.2610788188329</v>
      </c>
      <c r="U519" s="6">
        <v>60494.65020709575</v>
      </c>
      <c r="V519" s="6">
        <v>60566.46723507231</v>
      </c>
      <c r="W519" s="4">
        <v>0</v>
      </c>
      <c r="X519" s="4">
        <v>0</v>
      </c>
      <c r="Y519" s="4">
        <v>0</v>
      </c>
      <c r="Z519" s="4" t="s">
        <v>1181</v>
      </c>
      <c r="AA519" s="4" t="s">
        <v>1182</v>
      </c>
    </row>
    <row r="520" ht="30" customHeight="1" spans="1:27" x14ac:dyDescent="0.25">
      <c r="A520" s="4" t="s">
        <v>146</v>
      </c>
      <c r="B520" s="4" t="s">
        <v>117</v>
      </c>
      <c r="C520" s="4">
        <v>5000</v>
      </c>
      <c r="D520" s="4" t="s">
        <v>109</v>
      </c>
      <c r="E520" s="4">
        <v>6</v>
      </c>
      <c r="F520" s="4">
        <v>313</v>
      </c>
      <c r="G520" s="4">
        <v>3483</v>
      </c>
      <c r="H520" s="4">
        <v>1759</v>
      </c>
      <c r="I520" s="4">
        <v>3170</v>
      </c>
      <c r="J520" s="5">
        <v>0</v>
      </c>
      <c r="K520" s="6">
        <v>502.053255</v>
      </c>
      <c r="L520" s="6">
        <v>502.8184122</v>
      </c>
      <c r="M520" s="6">
        <v>506.07054803999995</v>
      </c>
      <c r="N520" s="6">
        <v>60494.563337</v>
      </c>
      <c r="O520" s="6">
        <v>60496.3700226</v>
      </c>
      <c r="P520" s="6">
        <v>60498.908447840004</v>
      </c>
      <c r="Q520" s="6">
        <v>10</v>
      </c>
      <c r="R520" s="6">
        <v>11</v>
      </c>
      <c r="S520" s="6">
        <v>11</v>
      </c>
      <c r="T520" s="6">
        <v>502.25781120930327</v>
      </c>
      <c r="U520" s="6">
        <v>60494.689762159855</v>
      </c>
      <c r="V520" s="6">
        <v>60570.80319374412</v>
      </c>
      <c r="W520" s="4">
        <v>0</v>
      </c>
      <c r="X520" s="4">
        <v>0</v>
      </c>
      <c r="Y520" s="4">
        <v>0</v>
      </c>
      <c r="Z520" s="4" t="s">
        <v>1183</v>
      </c>
      <c r="AA520" s="4" t="s">
        <v>1184</v>
      </c>
    </row>
    <row r="521" ht="30" customHeight="1" spans="1:27" x14ac:dyDescent="0.25">
      <c r="A521" s="4" t="s">
        <v>146</v>
      </c>
      <c r="B521" s="4" t="s">
        <v>117</v>
      </c>
      <c r="C521" s="4">
        <v>5000</v>
      </c>
      <c r="D521" s="4" t="s">
        <v>109</v>
      </c>
      <c r="E521" s="4">
        <v>7</v>
      </c>
      <c r="F521" s="4">
        <v>313</v>
      </c>
      <c r="G521" s="4">
        <v>3482</v>
      </c>
      <c r="H521" s="4">
        <v>1722</v>
      </c>
      <c r="I521" s="4">
        <v>3170</v>
      </c>
      <c r="J521" s="5">
        <v>0</v>
      </c>
      <c r="K521" s="6">
        <v>502.05566550000003</v>
      </c>
      <c r="L521" s="6">
        <v>502.86193710000003</v>
      </c>
      <c r="M521" s="6">
        <v>506.45683317</v>
      </c>
      <c r="N521" s="6">
        <v>60494.6238895</v>
      </c>
      <c r="O521" s="6">
        <v>60496.4204442</v>
      </c>
      <c r="P521" s="6">
        <v>60499.69680768</v>
      </c>
      <c r="Q521" s="6">
        <v>10</v>
      </c>
      <c r="R521" s="6">
        <v>11</v>
      </c>
      <c r="S521" s="6">
        <v>11</v>
      </c>
      <c r="T521" s="6">
        <v>502.24159480155157</v>
      </c>
      <c r="U521" s="6">
        <v>60494.72175473274</v>
      </c>
      <c r="V521" s="6">
        <v>60569.67906205144</v>
      </c>
      <c r="W521" s="4">
        <v>0</v>
      </c>
      <c r="X521" s="4">
        <v>0</v>
      </c>
      <c r="Y521" s="4">
        <v>0</v>
      </c>
      <c r="Z521" s="4" t="s">
        <v>1185</v>
      </c>
      <c r="AA521" s="4" t="s">
        <v>1186</v>
      </c>
    </row>
    <row r="522" ht="30" customHeight="1" spans="1:27" x14ac:dyDescent="0.25">
      <c r="A522" s="4" t="s">
        <v>146</v>
      </c>
      <c r="B522" s="4" t="s">
        <v>117</v>
      </c>
      <c r="C522" s="4">
        <v>5000</v>
      </c>
      <c r="D522" s="4" t="s">
        <v>109</v>
      </c>
      <c r="E522" s="4">
        <v>8</v>
      </c>
      <c r="F522" s="4">
        <v>312</v>
      </c>
      <c r="G522" s="4">
        <v>3470</v>
      </c>
      <c r="H522" s="4">
        <v>1735</v>
      </c>
      <c r="I522" s="4">
        <v>3159</v>
      </c>
      <c r="J522" s="5">
        <v>0</v>
      </c>
      <c r="K522" s="6">
        <v>502.0613155</v>
      </c>
      <c r="L522" s="6">
        <v>502.810854</v>
      </c>
      <c r="M522" s="6">
        <v>505.96691734</v>
      </c>
      <c r="N522" s="6">
        <v>60494.480056500004</v>
      </c>
      <c r="O522" s="6">
        <v>60496.292811399995</v>
      </c>
      <c r="P522" s="6">
        <v>60498.13239093</v>
      </c>
      <c r="Q522" s="6">
        <v>10</v>
      </c>
      <c r="R522" s="6">
        <v>11</v>
      </c>
      <c r="S522" s="6">
        <v>11</v>
      </c>
      <c r="T522" s="6">
        <v>502.23735807550486</v>
      </c>
      <c r="U522" s="6">
        <v>60494.60638775884</v>
      </c>
      <c r="V522" s="6">
        <v>60569.74129643919</v>
      </c>
      <c r="W522" s="4">
        <v>0</v>
      </c>
      <c r="X522" s="4">
        <v>0</v>
      </c>
      <c r="Y522" s="4">
        <v>0</v>
      </c>
      <c r="Z522" s="4" t="s">
        <v>1187</v>
      </c>
      <c r="AA522" s="4" t="s">
        <v>1188</v>
      </c>
    </row>
    <row r="523" ht="30" customHeight="1" spans="1:27" x14ac:dyDescent="0.25">
      <c r="A523" s="4" t="s">
        <v>146</v>
      </c>
      <c r="B523" s="4" t="s">
        <v>117</v>
      </c>
      <c r="C523" s="4">
        <v>5000</v>
      </c>
      <c r="D523" s="4" t="s">
        <v>109</v>
      </c>
      <c r="E523" s="4">
        <v>9</v>
      </c>
      <c r="F523" s="4">
        <v>312</v>
      </c>
      <c r="G523" s="4">
        <v>3471</v>
      </c>
      <c r="H523" s="4">
        <v>1735</v>
      </c>
      <c r="I523" s="4">
        <v>3159</v>
      </c>
      <c r="J523" s="5">
        <v>0</v>
      </c>
      <c r="K523" s="6">
        <v>502.082328</v>
      </c>
      <c r="L523" s="6">
        <v>502.858607</v>
      </c>
      <c r="M523" s="6">
        <v>508.1477267000001</v>
      </c>
      <c r="N523" s="6">
        <v>60494.625488</v>
      </c>
      <c r="O523" s="6">
        <v>60496.442243</v>
      </c>
      <c r="P523" s="6">
        <v>60499.4757934</v>
      </c>
      <c r="Q523" s="6">
        <v>10</v>
      </c>
      <c r="R523" s="6">
        <v>11</v>
      </c>
      <c r="S523" s="6">
        <v>11</v>
      </c>
      <c r="T523" s="6">
        <v>502.3095589997121</v>
      </c>
      <c r="U523" s="6">
        <v>60494.7596119548</v>
      </c>
      <c r="V523" s="6">
        <v>60570.112009335586</v>
      </c>
      <c r="W523" s="4">
        <v>0</v>
      </c>
      <c r="X523" s="4">
        <v>0</v>
      </c>
      <c r="Y523" s="4">
        <v>0</v>
      </c>
      <c r="Z523" s="4" t="s">
        <v>1189</v>
      </c>
      <c r="AA523" s="4" t="s">
        <v>1190</v>
      </c>
    </row>
    <row r="524" ht="30" customHeight="1" spans="1:27" x14ac:dyDescent="0.25">
      <c r="A524" s="4" t="s">
        <v>146</v>
      </c>
      <c r="B524" s="4" t="s">
        <v>117</v>
      </c>
      <c r="C524" s="4">
        <v>5000</v>
      </c>
      <c r="D524" s="4" t="s">
        <v>109</v>
      </c>
      <c r="E524" s="4">
        <v>10</v>
      </c>
      <c r="F524" s="4">
        <v>312</v>
      </c>
      <c r="G524" s="4">
        <v>3473</v>
      </c>
      <c r="H524" s="4">
        <v>1740</v>
      </c>
      <c r="I524" s="4">
        <v>3162</v>
      </c>
      <c r="J524" s="5">
        <v>0</v>
      </c>
      <c r="K524" s="6">
        <v>502.101186</v>
      </c>
      <c r="L524" s="6">
        <v>502.89267920000003</v>
      </c>
      <c r="M524" s="6">
        <v>508.91203463999994</v>
      </c>
      <c r="N524" s="6">
        <v>60494.616306</v>
      </c>
      <c r="O524" s="6">
        <v>60496.4570148</v>
      </c>
      <c r="P524" s="6">
        <v>60499.848584</v>
      </c>
      <c r="Q524" s="6">
        <v>10</v>
      </c>
      <c r="R524" s="6">
        <v>11</v>
      </c>
      <c r="S524" s="6">
        <v>11</v>
      </c>
      <c r="T524" s="6">
        <v>502.45006614396794</v>
      </c>
      <c r="U524" s="6">
        <v>60494.89319785352</v>
      </c>
      <c r="V524" s="6">
        <v>60569.765217225475</v>
      </c>
      <c r="W524" s="4">
        <v>0</v>
      </c>
      <c r="X524" s="4">
        <v>0</v>
      </c>
      <c r="Y524" s="4">
        <v>0</v>
      </c>
      <c r="Z524" s="4" t="s">
        <v>1191</v>
      </c>
      <c r="AA524" s="4" t="s">
        <v>1192</v>
      </c>
    </row>
    <row r="525" ht="30" customHeight="1" spans="1:27" x14ac:dyDescent="0.25">
      <c r="A525" s="4" t="s">
        <v>146</v>
      </c>
      <c r="B525" s="4" t="s">
        <v>117</v>
      </c>
      <c r="C525" s="4">
        <v>5000</v>
      </c>
      <c r="D525" s="4" t="s">
        <v>109</v>
      </c>
      <c r="E525" s="4">
        <v>11</v>
      </c>
      <c r="F525" s="4">
        <v>312</v>
      </c>
      <c r="G525" s="4">
        <v>3470</v>
      </c>
      <c r="H525" s="4">
        <v>1724</v>
      </c>
      <c r="I525" s="4">
        <v>3158</v>
      </c>
      <c r="J525" s="5">
        <v>0</v>
      </c>
      <c r="K525" s="6">
        <v>502.07106899999997</v>
      </c>
      <c r="L525" s="6">
        <v>502.8286721</v>
      </c>
      <c r="M525" s="6">
        <v>506.58172699</v>
      </c>
      <c r="N525" s="6">
        <v>60494.573526</v>
      </c>
      <c r="O525" s="6">
        <v>60496.3981345</v>
      </c>
      <c r="P525" s="6">
        <v>60498.41261834</v>
      </c>
      <c r="Q525" s="6">
        <v>10</v>
      </c>
      <c r="R525" s="6">
        <v>11</v>
      </c>
      <c r="S525" s="6">
        <v>11</v>
      </c>
      <c r="T525" s="6">
        <v>502.2445322394802</v>
      </c>
      <c r="U525" s="6">
        <v>60494.672029161506</v>
      </c>
      <c r="V525" s="6">
        <v>60569.428399357916</v>
      </c>
      <c r="W525" s="4">
        <v>0</v>
      </c>
      <c r="X525" s="4">
        <v>0</v>
      </c>
      <c r="Y525" s="4">
        <v>0</v>
      </c>
      <c r="Z525" s="4" t="s">
        <v>1193</v>
      </c>
      <c r="AA525" s="4" t="s">
        <v>1194</v>
      </c>
    </row>
    <row r="526" ht="30" customHeight="1" spans="1:27" x14ac:dyDescent="0.25">
      <c r="A526" s="4" t="s">
        <v>146</v>
      </c>
      <c r="B526" s="4" t="s">
        <v>117</v>
      </c>
      <c r="C526" s="4">
        <v>5000</v>
      </c>
      <c r="D526" s="4" t="s">
        <v>109</v>
      </c>
      <c r="E526" s="4">
        <v>12</v>
      </c>
      <c r="F526" s="4">
        <v>312</v>
      </c>
      <c r="G526" s="4">
        <v>3471</v>
      </c>
      <c r="H526" s="4">
        <v>1724</v>
      </c>
      <c r="I526" s="4">
        <v>3159</v>
      </c>
      <c r="J526" s="5">
        <v>0</v>
      </c>
      <c r="K526" s="6">
        <v>502.086466</v>
      </c>
      <c r="L526" s="6">
        <v>502.848306</v>
      </c>
      <c r="M526" s="6">
        <v>505.5682663</v>
      </c>
      <c r="N526" s="6">
        <v>60494.584251</v>
      </c>
      <c r="O526" s="6">
        <v>60496.393666</v>
      </c>
      <c r="P526" s="6">
        <v>60499.278068299995</v>
      </c>
      <c r="Q526" s="6">
        <v>10</v>
      </c>
      <c r="R526" s="6">
        <v>11</v>
      </c>
      <c r="S526" s="6">
        <v>11</v>
      </c>
      <c r="T526" s="6">
        <v>502.37329824517406</v>
      </c>
      <c r="U526" s="6">
        <v>60494.88307319064</v>
      </c>
      <c r="V526" s="6">
        <v>60569.108981674035</v>
      </c>
      <c r="W526" s="4">
        <v>0</v>
      </c>
      <c r="X526" s="4">
        <v>0</v>
      </c>
      <c r="Y526" s="4">
        <v>0</v>
      </c>
      <c r="Z526" s="4" t="s">
        <v>1195</v>
      </c>
      <c r="AA526" s="4" t="s">
        <v>1196</v>
      </c>
    </row>
    <row r="527" ht="30" customHeight="1" spans="1:27" x14ac:dyDescent="0.25">
      <c r="A527" s="4" t="s">
        <v>146</v>
      </c>
      <c r="B527" s="4" t="s">
        <v>117</v>
      </c>
      <c r="C527" s="4">
        <v>5000</v>
      </c>
      <c r="D527" s="4" t="s">
        <v>109</v>
      </c>
      <c r="E527" s="4">
        <v>13</v>
      </c>
      <c r="F527" s="4">
        <v>312</v>
      </c>
      <c r="G527" s="4">
        <v>3471</v>
      </c>
      <c r="H527" s="4">
        <v>1693</v>
      </c>
      <c r="I527" s="4">
        <v>3162</v>
      </c>
      <c r="J527" s="5">
        <v>0</v>
      </c>
      <c r="K527" s="6">
        <v>502.090927</v>
      </c>
      <c r="L527" s="6">
        <v>502.851203</v>
      </c>
      <c r="M527" s="6">
        <v>506.15072510000005</v>
      </c>
      <c r="N527" s="6">
        <v>60494.433439</v>
      </c>
      <c r="O527" s="6">
        <v>60496.371565</v>
      </c>
      <c r="P527" s="6">
        <v>60499.983109400004</v>
      </c>
      <c r="Q527" s="6">
        <v>10</v>
      </c>
      <c r="R527" s="6">
        <v>11</v>
      </c>
      <c r="S527" s="6">
        <v>11</v>
      </c>
      <c r="T527" s="6">
        <v>502.26849704292607</v>
      </c>
      <c r="U527" s="6">
        <v>60494.670705650555</v>
      </c>
      <c r="V527" s="6">
        <v>60567.617679464405</v>
      </c>
      <c r="W527" s="4">
        <v>0</v>
      </c>
      <c r="X527" s="4">
        <v>0</v>
      </c>
      <c r="Y527" s="4">
        <v>0</v>
      </c>
      <c r="Z527" s="4" t="s">
        <v>1197</v>
      </c>
      <c r="AA527" s="4" t="s">
        <v>1198</v>
      </c>
    </row>
    <row r="528" ht="30" customHeight="1" spans="1:27" x14ac:dyDescent="0.25">
      <c r="A528" s="4" t="s">
        <v>146</v>
      </c>
      <c r="B528" s="4" t="s">
        <v>117</v>
      </c>
      <c r="C528" s="4">
        <v>5000</v>
      </c>
      <c r="D528" s="4" t="s">
        <v>109</v>
      </c>
      <c r="E528" s="4">
        <v>14</v>
      </c>
      <c r="F528" s="4">
        <v>312</v>
      </c>
      <c r="G528" s="4">
        <v>3470</v>
      </c>
      <c r="H528" s="4">
        <v>1753</v>
      </c>
      <c r="I528" s="4">
        <v>3160</v>
      </c>
      <c r="J528" s="5">
        <v>0</v>
      </c>
      <c r="K528" s="6">
        <v>502.117483</v>
      </c>
      <c r="L528" s="6">
        <v>502.8927611</v>
      </c>
      <c r="M528" s="6">
        <v>506.54227930999997</v>
      </c>
      <c r="N528" s="6">
        <v>60494.6416515</v>
      </c>
      <c r="O528" s="6">
        <v>60496.397069499995</v>
      </c>
      <c r="P528" s="6">
        <v>60499.21729394</v>
      </c>
      <c r="Q528" s="6">
        <v>10</v>
      </c>
      <c r="R528" s="6">
        <v>11</v>
      </c>
      <c r="S528" s="6">
        <v>11</v>
      </c>
      <c r="T528" s="6">
        <v>502.2949176504329</v>
      </c>
      <c r="U528" s="6">
        <v>60494.74588789688</v>
      </c>
      <c r="V528" s="6">
        <v>60570.67843527854</v>
      </c>
      <c r="W528" s="4">
        <v>0</v>
      </c>
      <c r="X528" s="4">
        <v>0</v>
      </c>
      <c r="Y528" s="4">
        <v>0</v>
      </c>
      <c r="Z528" s="4" t="s">
        <v>1199</v>
      </c>
      <c r="AA528" s="4" t="s">
        <v>1200</v>
      </c>
    </row>
    <row r="529" ht="30" customHeight="1" spans="1:27" x14ac:dyDescent="0.25">
      <c r="A529" s="4" t="s">
        <v>146</v>
      </c>
      <c r="B529" s="4" t="s">
        <v>117</v>
      </c>
      <c r="C529" s="4">
        <v>5000</v>
      </c>
      <c r="D529" s="4" t="s">
        <v>109</v>
      </c>
      <c r="E529" s="4">
        <v>15</v>
      </c>
      <c r="F529" s="4">
        <v>312</v>
      </c>
      <c r="G529" s="4">
        <v>3471</v>
      </c>
      <c r="H529" s="4">
        <v>1770</v>
      </c>
      <c r="I529" s="4">
        <v>3159</v>
      </c>
      <c r="J529" s="5">
        <v>0</v>
      </c>
      <c r="K529" s="6">
        <v>502.073086</v>
      </c>
      <c r="L529" s="6">
        <v>502.813102</v>
      </c>
      <c r="M529" s="6">
        <v>506.17523520000003</v>
      </c>
      <c r="N529" s="6">
        <v>60494.639203</v>
      </c>
      <c r="O529" s="6">
        <v>60496.370473</v>
      </c>
      <c r="P529" s="6">
        <v>60498.5705361</v>
      </c>
      <c r="Q529" s="6">
        <v>10</v>
      </c>
      <c r="R529" s="6">
        <v>11</v>
      </c>
      <c r="S529" s="6">
        <v>11</v>
      </c>
      <c r="T529" s="6">
        <v>502.242379993951</v>
      </c>
      <c r="U529" s="6">
        <v>60494.71276427401</v>
      </c>
      <c r="V529" s="6">
        <v>60571.42255071662</v>
      </c>
      <c r="W529" s="4">
        <v>0</v>
      </c>
      <c r="X529" s="4">
        <v>0</v>
      </c>
      <c r="Y529" s="4">
        <v>0</v>
      </c>
      <c r="Z529" s="4" t="s">
        <v>1201</v>
      </c>
      <c r="AA529" s="4" t="s">
        <v>1202</v>
      </c>
    </row>
    <row r="530" ht="30" customHeight="1" spans="1:27" x14ac:dyDescent="0.25">
      <c r="A530" s="4" t="s">
        <v>146</v>
      </c>
      <c r="B530" s="4" t="s">
        <v>117</v>
      </c>
      <c r="C530" s="4">
        <v>10000</v>
      </c>
      <c r="D530" s="4" t="s">
        <v>109</v>
      </c>
      <c r="E530" s="4">
        <v>0</v>
      </c>
      <c r="F530" s="4">
        <v>625</v>
      </c>
      <c r="G530" s="4">
        <v>6951</v>
      </c>
      <c r="H530" s="4">
        <v>3449</v>
      </c>
      <c r="I530" s="4">
        <v>6328</v>
      </c>
      <c r="J530" s="5">
        <v>0</v>
      </c>
      <c r="K530" s="6">
        <v>507.584496</v>
      </c>
      <c r="L530" s="6">
        <v>522.681343</v>
      </c>
      <c r="M530" s="6">
        <v>565.4993685</v>
      </c>
      <c r="N530" s="6">
        <v>60502.498577</v>
      </c>
      <c r="O530" s="6">
        <v>60516.850286</v>
      </c>
      <c r="P530" s="6">
        <v>60545.4555245</v>
      </c>
      <c r="Q530" s="6">
        <v>10</v>
      </c>
      <c r="R530" s="6">
        <v>11</v>
      </c>
      <c r="S530" s="6">
        <v>11</v>
      </c>
      <c r="T530" s="6">
        <v>511.78221394490026</v>
      </c>
      <c r="U530" s="6">
        <v>60505.63066672403</v>
      </c>
      <c r="V530" s="6">
        <v>60584.001504131964</v>
      </c>
      <c r="W530" s="4">
        <v>0</v>
      </c>
      <c r="X530" s="4">
        <v>0</v>
      </c>
      <c r="Y530" s="4">
        <v>0</v>
      </c>
      <c r="Z530" s="4" t="s">
        <v>1203</v>
      </c>
      <c r="AA530" s="4" t="s">
        <v>1204</v>
      </c>
    </row>
    <row r="531" ht="30" customHeight="1" spans="1:27" x14ac:dyDescent="0.25">
      <c r="A531" s="4" t="s">
        <v>146</v>
      </c>
      <c r="B531" s="4" t="s">
        <v>117</v>
      </c>
      <c r="C531" s="4">
        <v>10000</v>
      </c>
      <c r="D531" s="4" t="s">
        <v>109</v>
      </c>
      <c r="E531" s="4">
        <v>1</v>
      </c>
      <c r="F531" s="4">
        <v>625</v>
      </c>
      <c r="G531" s="4">
        <v>6948</v>
      </c>
      <c r="H531" s="4">
        <v>3451</v>
      </c>
      <c r="I531" s="4">
        <v>6326</v>
      </c>
      <c r="J531" s="5">
        <v>0</v>
      </c>
      <c r="K531" s="6">
        <v>507.52086699999995</v>
      </c>
      <c r="L531" s="6">
        <v>523.2281327</v>
      </c>
      <c r="M531" s="6">
        <v>568.31980042</v>
      </c>
      <c r="N531" s="6">
        <v>60502.4122095</v>
      </c>
      <c r="O531" s="6">
        <v>60517.676782200004</v>
      </c>
      <c r="P531" s="6">
        <v>60547.93227986</v>
      </c>
      <c r="Q531" s="6">
        <v>10</v>
      </c>
      <c r="R531" s="6">
        <v>11</v>
      </c>
      <c r="S531" s="6">
        <v>11</v>
      </c>
      <c r="T531" s="6">
        <v>511.85537105512486</v>
      </c>
      <c r="U531" s="6">
        <v>60505.666290145404</v>
      </c>
      <c r="V531" s="6">
        <v>60584.29586095033</v>
      </c>
      <c r="W531" s="4">
        <v>0</v>
      </c>
      <c r="X531" s="4">
        <v>0</v>
      </c>
      <c r="Y531" s="4">
        <v>0</v>
      </c>
      <c r="Z531" s="4" t="s">
        <v>1205</v>
      </c>
      <c r="AA531" s="4" t="s">
        <v>1206</v>
      </c>
    </row>
    <row r="532" ht="30" customHeight="1" spans="1:27" x14ac:dyDescent="0.25">
      <c r="A532" s="4" t="s">
        <v>146</v>
      </c>
      <c r="B532" s="4" t="s">
        <v>117</v>
      </c>
      <c r="C532" s="4">
        <v>10000</v>
      </c>
      <c r="D532" s="4" t="s">
        <v>109</v>
      </c>
      <c r="E532" s="4">
        <v>2</v>
      </c>
      <c r="F532" s="4">
        <v>625</v>
      </c>
      <c r="G532" s="4">
        <v>6955</v>
      </c>
      <c r="H532" s="4">
        <v>3612</v>
      </c>
      <c r="I532" s="4">
        <v>6330</v>
      </c>
      <c r="J532" s="5">
        <v>0</v>
      </c>
      <c r="K532" s="6">
        <v>507.767018</v>
      </c>
      <c r="L532" s="6">
        <v>524.6853292</v>
      </c>
      <c r="M532" s="6">
        <v>567.65814742</v>
      </c>
      <c r="N532" s="6">
        <v>60502.623811</v>
      </c>
      <c r="O532" s="6">
        <v>60518.215479000006</v>
      </c>
      <c r="P532" s="6">
        <v>60550.738690800004</v>
      </c>
      <c r="Q532" s="6">
        <v>10</v>
      </c>
      <c r="R532" s="6">
        <v>11</v>
      </c>
      <c r="S532" s="6">
        <v>11</v>
      </c>
      <c r="T532" s="6">
        <v>512.1310741358745</v>
      </c>
      <c r="U532" s="6">
        <v>60505.805665605905</v>
      </c>
      <c r="V532" s="6">
        <v>60589.290794504675</v>
      </c>
      <c r="W532" s="4">
        <v>0</v>
      </c>
      <c r="X532" s="4">
        <v>0</v>
      </c>
      <c r="Y532" s="4">
        <v>0</v>
      </c>
      <c r="Z532" s="4" t="s">
        <v>1207</v>
      </c>
      <c r="AA532" s="4" t="s">
        <v>1208</v>
      </c>
    </row>
    <row r="533" ht="30" customHeight="1" spans="1:27" x14ac:dyDescent="0.25">
      <c r="A533" s="4" t="s">
        <v>146</v>
      </c>
      <c r="B533" s="4" t="s">
        <v>117</v>
      </c>
      <c r="C533" s="4">
        <v>10000</v>
      </c>
      <c r="D533" s="4" t="s">
        <v>109</v>
      </c>
      <c r="E533" s="4">
        <v>3</v>
      </c>
      <c r="F533" s="4">
        <v>625</v>
      </c>
      <c r="G533" s="4">
        <v>6952</v>
      </c>
      <c r="H533" s="4">
        <v>3386</v>
      </c>
      <c r="I533" s="4">
        <v>6331</v>
      </c>
      <c r="J533" s="5">
        <v>0</v>
      </c>
      <c r="K533" s="6">
        <v>507.1560715</v>
      </c>
      <c r="L533" s="6">
        <v>521.2083013</v>
      </c>
      <c r="M533" s="6">
        <v>569.6780219399998</v>
      </c>
      <c r="N533" s="6">
        <v>60502.235992500006</v>
      </c>
      <c r="O533" s="6">
        <v>60516.664865399995</v>
      </c>
      <c r="P533" s="6">
        <v>60550.42876569</v>
      </c>
      <c r="Q533" s="6">
        <v>10</v>
      </c>
      <c r="R533" s="6">
        <v>11</v>
      </c>
      <c r="S533" s="6">
        <v>11</v>
      </c>
      <c r="T533" s="6">
        <v>511.20801907853985</v>
      </c>
      <c r="U533" s="6">
        <v>60505.20784022931</v>
      </c>
      <c r="V533" s="6">
        <v>60582.47089925318</v>
      </c>
      <c r="W533" s="4">
        <v>0</v>
      </c>
      <c r="X533" s="4">
        <v>0</v>
      </c>
      <c r="Y533" s="4">
        <v>0</v>
      </c>
      <c r="Z533" s="4" t="s">
        <v>1209</v>
      </c>
      <c r="AA533" s="4" t="s">
        <v>1210</v>
      </c>
    </row>
    <row r="534" ht="30" customHeight="1" spans="1:27" x14ac:dyDescent="0.25">
      <c r="A534" s="4" t="s">
        <v>146</v>
      </c>
      <c r="B534" s="4" t="s">
        <v>117</v>
      </c>
      <c r="C534" s="4">
        <v>10000</v>
      </c>
      <c r="D534" s="4" t="s">
        <v>109</v>
      </c>
      <c r="E534" s="4">
        <v>4</v>
      </c>
      <c r="F534" s="4">
        <v>625</v>
      </c>
      <c r="G534" s="4">
        <v>6951</v>
      </c>
      <c r="H534" s="4">
        <v>3491</v>
      </c>
      <c r="I534" s="4">
        <v>6328</v>
      </c>
      <c r="J534" s="5">
        <v>0</v>
      </c>
      <c r="K534" s="6">
        <v>507.743393</v>
      </c>
      <c r="L534" s="6">
        <v>522.478202</v>
      </c>
      <c r="M534" s="6">
        <v>570.644241</v>
      </c>
      <c r="N534" s="6">
        <v>60502.626698</v>
      </c>
      <c r="O534" s="6">
        <v>60517.349034</v>
      </c>
      <c r="P534" s="6">
        <v>60549.9587795</v>
      </c>
      <c r="Q534" s="6">
        <v>10</v>
      </c>
      <c r="R534" s="6">
        <v>11</v>
      </c>
      <c r="S534" s="6">
        <v>11</v>
      </c>
      <c r="T534" s="6">
        <v>511.89017650395647</v>
      </c>
      <c r="U534" s="6">
        <v>60505.83506803365</v>
      </c>
      <c r="V534" s="6">
        <v>60586.31097316237</v>
      </c>
      <c r="W534" s="4">
        <v>0</v>
      </c>
      <c r="X534" s="4">
        <v>0</v>
      </c>
      <c r="Y534" s="4">
        <v>0</v>
      </c>
      <c r="Z534" s="4" t="s">
        <v>1211</v>
      </c>
      <c r="AA534" s="4" t="s">
        <v>1212</v>
      </c>
    </row>
    <row r="535" ht="30" customHeight="1" spans="1:27" x14ac:dyDescent="0.25">
      <c r="A535" s="4" t="s">
        <v>146</v>
      </c>
      <c r="B535" s="4" t="s">
        <v>117</v>
      </c>
      <c r="C535" s="4">
        <v>10000</v>
      </c>
      <c r="D535" s="4" t="s">
        <v>109</v>
      </c>
      <c r="E535" s="4">
        <v>5</v>
      </c>
      <c r="F535" s="4">
        <v>625</v>
      </c>
      <c r="G535" s="4">
        <v>6953</v>
      </c>
      <c r="H535" s="4">
        <v>3489</v>
      </c>
      <c r="I535" s="4">
        <v>6328</v>
      </c>
      <c r="J535" s="5">
        <v>0</v>
      </c>
      <c r="K535" s="6">
        <v>507.223028</v>
      </c>
      <c r="L535" s="6">
        <v>521.94245</v>
      </c>
      <c r="M535" s="6">
        <v>566.73837204</v>
      </c>
      <c r="N535" s="6">
        <v>60502.438915</v>
      </c>
      <c r="O535" s="6">
        <v>60516.7052624</v>
      </c>
      <c r="P535" s="6">
        <v>60546.30187476</v>
      </c>
      <c r="Q535" s="6">
        <v>10</v>
      </c>
      <c r="R535" s="6">
        <v>11</v>
      </c>
      <c r="S535" s="6">
        <v>11</v>
      </c>
      <c r="T535" s="6">
        <v>511.0757197024332</v>
      </c>
      <c r="U535" s="6">
        <v>60505.08563084397</v>
      </c>
      <c r="V535" s="6">
        <v>60585.54427821047</v>
      </c>
      <c r="W535" s="4">
        <v>0</v>
      </c>
      <c r="X535" s="4">
        <v>0</v>
      </c>
      <c r="Y535" s="4">
        <v>0</v>
      </c>
      <c r="Z535" s="4" t="s">
        <v>1213</v>
      </c>
      <c r="AA535" s="4" t="s">
        <v>1214</v>
      </c>
    </row>
    <row r="536" ht="30" customHeight="1" spans="1:27" x14ac:dyDescent="0.25">
      <c r="A536" s="4" t="s">
        <v>146</v>
      </c>
      <c r="B536" s="4" t="s">
        <v>117</v>
      </c>
      <c r="C536" s="4">
        <v>10000</v>
      </c>
      <c r="D536" s="4" t="s">
        <v>109</v>
      </c>
      <c r="E536" s="4">
        <v>6</v>
      </c>
      <c r="F536" s="4">
        <v>625</v>
      </c>
      <c r="G536" s="4">
        <v>6950</v>
      </c>
      <c r="H536" s="4">
        <v>3512</v>
      </c>
      <c r="I536" s="4">
        <v>6327</v>
      </c>
      <c r="J536" s="5">
        <v>0</v>
      </c>
      <c r="K536" s="6">
        <v>507.153862</v>
      </c>
      <c r="L536" s="6">
        <v>522.8408476000001</v>
      </c>
      <c r="M536" s="6">
        <v>567.63707203</v>
      </c>
      <c r="N536" s="6">
        <v>60502.459432999996</v>
      </c>
      <c r="O536" s="6">
        <v>60517.4713193</v>
      </c>
      <c r="P536" s="6">
        <v>60549.95901254</v>
      </c>
      <c r="Q536" s="6">
        <v>10</v>
      </c>
      <c r="R536" s="6">
        <v>11</v>
      </c>
      <c r="S536" s="6">
        <v>11</v>
      </c>
      <c r="T536" s="6">
        <v>511.36041294719394</v>
      </c>
      <c r="U536" s="6">
        <v>60505.49162297656</v>
      </c>
      <c r="V536" s="6">
        <v>60586.58363607016</v>
      </c>
      <c r="W536" s="4">
        <v>0</v>
      </c>
      <c r="X536" s="4">
        <v>0</v>
      </c>
      <c r="Y536" s="4">
        <v>0</v>
      </c>
      <c r="Z536" s="4" t="s">
        <v>1215</v>
      </c>
      <c r="AA536" s="4" t="s">
        <v>1216</v>
      </c>
    </row>
    <row r="537" ht="30" customHeight="1" spans="1:27" x14ac:dyDescent="0.25">
      <c r="A537" s="4" t="s">
        <v>146</v>
      </c>
      <c r="B537" s="4" t="s">
        <v>117</v>
      </c>
      <c r="C537" s="4">
        <v>10000</v>
      </c>
      <c r="D537" s="4" t="s">
        <v>109</v>
      </c>
      <c r="E537" s="4">
        <v>7</v>
      </c>
      <c r="F537" s="4">
        <v>625</v>
      </c>
      <c r="G537" s="4">
        <v>6953</v>
      </c>
      <c r="H537" s="4">
        <v>3471</v>
      </c>
      <c r="I537" s="4">
        <v>6329</v>
      </c>
      <c r="J537" s="5">
        <v>0</v>
      </c>
      <c r="K537" s="6">
        <v>507.607963</v>
      </c>
      <c r="L537" s="6">
        <v>522.8556016</v>
      </c>
      <c r="M537" s="6">
        <v>562.21196372</v>
      </c>
      <c r="N537" s="6">
        <v>60502.557132</v>
      </c>
      <c r="O537" s="6">
        <v>60517.6939766</v>
      </c>
      <c r="P537" s="6">
        <v>60544.18287076</v>
      </c>
      <c r="Q537" s="6">
        <v>10</v>
      </c>
      <c r="R537" s="6">
        <v>11</v>
      </c>
      <c r="S537" s="6">
        <v>11</v>
      </c>
      <c r="T537" s="6">
        <v>511.3155055777357</v>
      </c>
      <c r="U537" s="6">
        <v>60505.40426581637</v>
      </c>
      <c r="V537" s="6">
        <v>60584.81998886044</v>
      </c>
      <c r="W537" s="4">
        <v>0</v>
      </c>
      <c r="X537" s="4">
        <v>0</v>
      </c>
      <c r="Y537" s="4">
        <v>0</v>
      </c>
      <c r="Z537" s="4" t="s">
        <v>1217</v>
      </c>
      <c r="AA537" s="4" t="s">
        <v>1218</v>
      </c>
    </row>
    <row r="538" ht="30" customHeight="1" spans="1:27" x14ac:dyDescent="0.25">
      <c r="A538" s="4" t="s">
        <v>146</v>
      </c>
      <c r="B538" s="4" t="s">
        <v>117</v>
      </c>
      <c r="C538" s="4">
        <v>10000</v>
      </c>
      <c r="D538" s="4" t="s">
        <v>109</v>
      </c>
      <c r="E538" s="4">
        <v>8</v>
      </c>
      <c r="F538" s="4">
        <v>625</v>
      </c>
      <c r="G538" s="4">
        <v>6951</v>
      </c>
      <c r="H538" s="4">
        <v>3495</v>
      </c>
      <c r="I538" s="4">
        <v>6327</v>
      </c>
      <c r="J538" s="5">
        <v>0</v>
      </c>
      <c r="K538" s="6">
        <v>507.019149</v>
      </c>
      <c r="L538" s="6">
        <v>522.428835</v>
      </c>
      <c r="M538" s="6">
        <v>567.8200545</v>
      </c>
      <c r="N538" s="6">
        <v>60502.291843</v>
      </c>
      <c r="O538" s="6">
        <v>60517.306155</v>
      </c>
      <c r="P538" s="6">
        <v>60550.0135335</v>
      </c>
      <c r="Q538" s="6">
        <v>10</v>
      </c>
      <c r="R538" s="6">
        <v>11</v>
      </c>
      <c r="S538" s="6">
        <v>11</v>
      </c>
      <c r="T538" s="6">
        <v>511.22128225909967</v>
      </c>
      <c r="U538" s="6">
        <v>60505.381326644056</v>
      </c>
      <c r="V538" s="6">
        <v>60586.25494499031</v>
      </c>
      <c r="W538" s="4">
        <v>0</v>
      </c>
      <c r="X538" s="4">
        <v>0</v>
      </c>
      <c r="Y538" s="4">
        <v>0</v>
      </c>
      <c r="Z538" s="4" t="s">
        <v>1219</v>
      </c>
      <c r="AA538" s="4" t="s">
        <v>1220</v>
      </c>
    </row>
    <row r="539" ht="30" customHeight="1" spans="1:27" x14ac:dyDescent="0.25">
      <c r="A539" s="4" t="s">
        <v>146</v>
      </c>
      <c r="B539" s="4" t="s">
        <v>117</v>
      </c>
      <c r="C539" s="4">
        <v>10000</v>
      </c>
      <c r="D539" s="4" t="s">
        <v>109</v>
      </c>
      <c r="E539" s="4">
        <v>9</v>
      </c>
      <c r="F539" s="4">
        <v>625</v>
      </c>
      <c r="G539" s="4">
        <v>6953</v>
      </c>
      <c r="H539" s="4">
        <v>3419</v>
      </c>
      <c r="I539" s="4">
        <v>6329</v>
      </c>
      <c r="J539" s="5">
        <v>0</v>
      </c>
      <c r="K539" s="6">
        <v>507.488408</v>
      </c>
      <c r="L539" s="6">
        <v>521.1819072</v>
      </c>
      <c r="M539" s="6">
        <v>564.07516804</v>
      </c>
      <c r="N539" s="6">
        <v>60502.314623</v>
      </c>
      <c r="O539" s="6">
        <v>60516.1953536</v>
      </c>
      <c r="P539" s="6">
        <v>60544.5144912</v>
      </c>
      <c r="Q539" s="6">
        <v>10</v>
      </c>
      <c r="R539" s="6">
        <v>11</v>
      </c>
      <c r="S539" s="6">
        <v>11</v>
      </c>
      <c r="T539" s="6">
        <v>510.9940826933695</v>
      </c>
      <c r="U539" s="6">
        <v>60504.98100285005</v>
      </c>
      <c r="V539" s="6">
        <v>60580.71611416672</v>
      </c>
      <c r="W539" s="4">
        <v>0</v>
      </c>
      <c r="X539" s="4">
        <v>0</v>
      </c>
      <c r="Y539" s="4">
        <v>0</v>
      </c>
      <c r="Z539" s="4" t="s">
        <v>1221</v>
      </c>
      <c r="AA539" s="4" t="s">
        <v>1222</v>
      </c>
    </row>
    <row r="540" ht="30" customHeight="1" spans="1:27" x14ac:dyDescent="0.25">
      <c r="A540" s="4" t="s">
        <v>146</v>
      </c>
      <c r="B540" s="4" t="s">
        <v>117</v>
      </c>
      <c r="C540" s="4">
        <v>10000</v>
      </c>
      <c r="D540" s="4" t="s">
        <v>109</v>
      </c>
      <c r="E540" s="4">
        <v>10</v>
      </c>
      <c r="F540" s="4">
        <v>625</v>
      </c>
      <c r="G540" s="4">
        <v>6950</v>
      </c>
      <c r="H540" s="4">
        <v>3472</v>
      </c>
      <c r="I540" s="4">
        <v>6326</v>
      </c>
      <c r="J540" s="5">
        <v>0</v>
      </c>
      <c r="K540" s="6">
        <v>507.065056</v>
      </c>
      <c r="L540" s="6">
        <v>520.7456011</v>
      </c>
      <c r="M540" s="6">
        <v>567.98574828</v>
      </c>
      <c r="N540" s="6">
        <v>60502.234685999996</v>
      </c>
      <c r="O540" s="6">
        <v>60516.7446748</v>
      </c>
      <c r="P540" s="6">
        <v>60546.35419523</v>
      </c>
      <c r="Q540" s="6">
        <v>10</v>
      </c>
      <c r="R540" s="6">
        <v>11</v>
      </c>
      <c r="S540" s="6">
        <v>11</v>
      </c>
      <c r="T540" s="6">
        <v>510.90423913251544</v>
      </c>
      <c r="U540" s="6">
        <v>60505.078969972674</v>
      </c>
      <c r="V540" s="6">
        <v>60583.505828818656</v>
      </c>
      <c r="W540" s="4">
        <v>0</v>
      </c>
      <c r="X540" s="4">
        <v>0</v>
      </c>
      <c r="Y540" s="4">
        <v>0</v>
      </c>
      <c r="Z540" s="4" t="s">
        <v>1223</v>
      </c>
      <c r="AA540" s="4" t="s">
        <v>1224</v>
      </c>
    </row>
    <row r="541" ht="30" customHeight="1" spans="1:27" x14ac:dyDescent="0.25">
      <c r="A541" s="4" t="s">
        <v>146</v>
      </c>
      <c r="B541" s="4" t="s">
        <v>117</v>
      </c>
      <c r="C541" s="4">
        <v>10000</v>
      </c>
      <c r="D541" s="4" t="s">
        <v>109</v>
      </c>
      <c r="E541" s="4">
        <v>11</v>
      </c>
      <c r="F541" s="4">
        <v>625</v>
      </c>
      <c r="G541" s="4">
        <v>6950</v>
      </c>
      <c r="H541" s="4">
        <v>3455</v>
      </c>
      <c r="I541" s="4">
        <v>6326</v>
      </c>
      <c r="J541" s="5">
        <v>0</v>
      </c>
      <c r="K541" s="6">
        <v>506.9999275</v>
      </c>
      <c r="L541" s="6">
        <v>520.6039589000001</v>
      </c>
      <c r="M541" s="6">
        <v>570.3097063900001</v>
      </c>
      <c r="N541" s="6">
        <v>60502.1493585</v>
      </c>
      <c r="O541" s="6">
        <v>60516.3788288</v>
      </c>
      <c r="P541" s="6">
        <v>60550.76904813</v>
      </c>
      <c r="Q541" s="6">
        <v>10</v>
      </c>
      <c r="R541" s="6">
        <v>11</v>
      </c>
      <c r="S541" s="6">
        <v>11</v>
      </c>
      <c r="T541" s="6">
        <v>510.91076627007266</v>
      </c>
      <c r="U541" s="6">
        <v>60504.98262355222</v>
      </c>
      <c r="V541" s="6">
        <v>60584.43030582612</v>
      </c>
      <c r="W541" s="4">
        <v>0</v>
      </c>
      <c r="X541" s="4">
        <v>0</v>
      </c>
      <c r="Y541" s="4">
        <v>0</v>
      </c>
      <c r="Z541" s="4" t="s">
        <v>1225</v>
      </c>
      <c r="AA541" s="4" t="s">
        <v>1226</v>
      </c>
    </row>
    <row r="542" ht="30" customHeight="1" spans="1:27" x14ac:dyDescent="0.25">
      <c r="A542" s="4" t="s">
        <v>146</v>
      </c>
      <c r="B542" s="4" t="s">
        <v>117</v>
      </c>
      <c r="C542" s="4">
        <v>10000</v>
      </c>
      <c r="D542" s="4" t="s">
        <v>109</v>
      </c>
      <c r="E542" s="4">
        <v>12</v>
      </c>
      <c r="F542" s="4">
        <v>625</v>
      </c>
      <c r="G542" s="4">
        <v>6951</v>
      </c>
      <c r="H542" s="4">
        <v>3520</v>
      </c>
      <c r="I542" s="4">
        <v>6326</v>
      </c>
      <c r="J542" s="5">
        <v>0</v>
      </c>
      <c r="K542" s="6">
        <v>507.420952</v>
      </c>
      <c r="L542" s="6">
        <v>521.89446</v>
      </c>
      <c r="M542" s="6">
        <v>564.6531765</v>
      </c>
      <c r="N542" s="6">
        <v>60502.449465</v>
      </c>
      <c r="O542" s="6">
        <v>60516.344029</v>
      </c>
      <c r="P542" s="6">
        <v>60541.065811</v>
      </c>
      <c r="Q542" s="6">
        <v>10</v>
      </c>
      <c r="R542" s="6">
        <v>11</v>
      </c>
      <c r="S542" s="6">
        <v>11</v>
      </c>
      <c r="T542" s="6">
        <v>511.0626993166457</v>
      </c>
      <c r="U542" s="6">
        <v>60504.87119488433</v>
      </c>
      <c r="V542" s="6">
        <v>60583.671911648</v>
      </c>
      <c r="W542" s="4">
        <v>0</v>
      </c>
      <c r="X542" s="4">
        <v>0</v>
      </c>
      <c r="Y542" s="4">
        <v>0</v>
      </c>
      <c r="Z542" s="4" t="s">
        <v>1227</v>
      </c>
      <c r="AA542" s="4" t="s">
        <v>1228</v>
      </c>
    </row>
    <row r="543" ht="30" customHeight="1" spans="1:27" x14ac:dyDescent="0.25">
      <c r="A543" s="4" t="s">
        <v>146</v>
      </c>
      <c r="B543" s="4" t="s">
        <v>117</v>
      </c>
      <c r="C543" s="4">
        <v>10000</v>
      </c>
      <c r="D543" s="4" t="s">
        <v>109</v>
      </c>
      <c r="E543" s="4">
        <v>13</v>
      </c>
      <c r="F543" s="4">
        <v>625</v>
      </c>
      <c r="G543" s="4">
        <v>6950</v>
      </c>
      <c r="H543" s="4">
        <v>3445</v>
      </c>
      <c r="I543" s="4">
        <v>6327</v>
      </c>
      <c r="J543" s="5">
        <v>0</v>
      </c>
      <c r="K543" s="6">
        <v>506.837385</v>
      </c>
      <c r="L543" s="6">
        <v>519.5099348</v>
      </c>
      <c r="M543" s="6">
        <v>560.64981534</v>
      </c>
      <c r="N543" s="6">
        <v>60501.9076965</v>
      </c>
      <c r="O543" s="6">
        <v>60515.0019387</v>
      </c>
      <c r="P543" s="6">
        <v>60539.72319222</v>
      </c>
      <c r="Q543" s="6">
        <v>10</v>
      </c>
      <c r="R543" s="6">
        <v>11</v>
      </c>
      <c r="S543" s="6">
        <v>11</v>
      </c>
      <c r="T543" s="6">
        <v>510.3061217804307</v>
      </c>
      <c r="U543" s="6">
        <v>60504.52236614768</v>
      </c>
      <c r="V543" s="6">
        <v>60579.8076955845</v>
      </c>
      <c r="W543" s="4">
        <v>0</v>
      </c>
      <c r="X543" s="4">
        <v>0</v>
      </c>
      <c r="Y543" s="4">
        <v>0</v>
      </c>
      <c r="Z543" s="4" t="s">
        <v>1229</v>
      </c>
      <c r="AA543" s="4" t="s">
        <v>1230</v>
      </c>
    </row>
    <row r="544" ht="30" customHeight="1" spans="1:27" x14ac:dyDescent="0.25">
      <c r="A544" s="4" t="s">
        <v>146</v>
      </c>
      <c r="B544" s="4" t="s">
        <v>117</v>
      </c>
      <c r="C544" s="4">
        <v>10000</v>
      </c>
      <c r="D544" s="4" t="s">
        <v>109</v>
      </c>
      <c r="E544" s="4">
        <v>14</v>
      </c>
      <c r="F544" s="4">
        <v>625</v>
      </c>
      <c r="G544" s="4">
        <v>6953</v>
      </c>
      <c r="H544" s="4">
        <v>3514</v>
      </c>
      <c r="I544" s="4">
        <v>6328</v>
      </c>
      <c r="J544" s="5">
        <v>0</v>
      </c>
      <c r="K544" s="6">
        <v>507.618285</v>
      </c>
      <c r="L544" s="6">
        <v>522.5367792000001</v>
      </c>
      <c r="M544" s="6">
        <v>562.92223772</v>
      </c>
      <c r="N544" s="6">
        <v>60502.433782</v>
      </c>
      <c r="O544" s="6">
        <v>60517.2065844</v>
      </c>
      <c r="P544" s="6">
        <v>60544.370265800004</v>
      </c>
      <c r="Q544" s="6">
        <v>10</v>
      </c>
      <c r="R544" s="6">
        <v>11</v>
      </c>
      <c r="S544" s="6">
        <v>11</v>
      </c>
      <c r="T544" s="6">
        <v>511.43068888968776</v>
      </c>
      <c r="U544" s="6">
        <v>60505.425232544025</v>
      </c>
      <c r="V544" s="6">
        <v>60584.36482696814</v>
      </c>
      <c r="W544" s="4">
        <v>0</v>
      </c>
      <c r="X544" s="4">
        <v>0</v>
      </c>
      <c r="Y544" s="4">
        <v>0</v>
      </c>
      <c r="Z544" s="4" t="s">
        <v>1231</v>
      </c>
      <c r="AA544" s="4" t="s">
        <v>1232</v>
      </c>
    </row>
    <row r="545" ht="30" customHeight="1" spans="1:27" x14ac:dyDescent="0.25">
      <c r="A545" s="4" t="s">
        <v>146</v>
      </c>
      <c r="B545" s="4" t="s">
        <v>117</v>
      </c>
      <c r="C545" s="4">
        <v>10000</v>
      </c>
      <c r="D545" s="4" t="s">
        <v>109</v>
      </c>
      <c r="E545" s="4">
        <v>15</v>
      </c>
      <c r="F545" s="4">
        <v>625</v>
      </c>
      <c r="G545" s="4">
        <v>6951</v>
      </c>
      <c r="H545" s="4">
        <v>3525</v>
      </c>
      <c r="I545" s="4">
        <v>6327</v>
      </c>
      <c r="J545" s="5">
        <v>0</v>
      </c>
      <c r="K545" s="6">
        <v>507.326422</v>
      </c>
      <c r="L545" s="6">
        <v>520.617876</v>
      </c>
      <c r="M545" s="6">
        <v>563.2501090000001</v>
      </c>
      <c r="N545" s="6">
        <v>60502.181939</v>
      </c>
      <c r="O545" s="6">
        <v>60516.483602</v>
      </c>
      <c r="P545" s="6">
        <v>60547.444163</v>
      </c>
      <c r="Q545" s="6">
        <v>10</v>
      </c>
      <c r="R545" s="6">
        <v>11</v>
      </c>
      <c r="S545" s="6">
        <v>11</v>
      </c>
      <c r="T545" s="6">
        <v>510.7518711979577</v>
      </c>
      <c r="U545" s="6">
        <v>60504.94857978712</v>
      </c>
      <c r="V545" s="6">
        <v>60583.431544968545</v>
      </c>
      <c r="W545" s="4">
        <v>0</v>
      </c>
      <c r="X545" s="4">
        <v>0</v>
      </c>
      <c r="Y545" s="4">
        <v>0</v>
      </c>
      <c r="Z545" s="4" t="s">
        <v>1233</v>
      </c>
      <c r="AA545" s="4" t="s">
        <v>1234</v>
      </c>
    </row>
    <row r="546" ht="30" customHeight="1" spans="1:27" x14ac:dyDescent="0.25">
      <c r="A546" s="4" t="s">
        <v>146</v>
      </c>
      <c r="B546" s="4" t="s">
        <v>117</v>
      </c>
      <c r="C546" s="4">
        <v>15000</v>
      </c>
      <c r="D546" s="4" t="s">
        <v>109</v>
      </c>
      <c r="E546" s="4">
        <v>0</v>
      </c>
      <c r="F546" s="4">
        <v>938</v>
      </c>
      <c r="G546" s="4">
        <v>10405</v>
      </c>
      <c r="H546" s="4">
        <v>5202</v>
      </c>
      <c r="I546" s="4">
        <v>9468</v>
      </c>
      <c r="J546" s="5">
        <v>0</v>
      </c>
      <c r="K546" s="6">
        <v>526.698056</v>
      </c>
      <c r="L546" s="6">
        <v>594.5533298</v>
      </c>
      <c r="M546" s="6">
        <v>676.3585482399992</v>
      </c>
      <c r="N546" s="6">
        <v>60529.029815</v>
      </c>
      <c r="O546" s="6">
        <v>60619.2368312</v>
      </c>
      <c r="P546" s="6">
        <v>60859.455927079995</v>
      </c>
      <c r="Q546" s="6">
        <v>10</v>
      </c>
      <c r="R546" s="6">
        <v>11</v>
      </c>
      <c r="S546" s="6">
        <v>11</v>
      </c>
      <c r="T546" s="6">
        <v>541.9290651835659</v>
      </c>
      <c r="U546" s="6">
        <v>60551.938202030324</v>
      </c>
      <c r="V546" s="6">
        <v>60680.58635371862</v>
      </c>
      <c r="W546" s="4">
        <v>0</v>
      </c>
      <c r="X546" s="4">
        <v>0</v>
      </c>
      <c r="Y546" s="4">
        <v>0</v>
      </c>
      <c r="Z546" s="4" t="s">
        <v>1235</v>
      </c>
      <c r="AA546" s="4" t="s">
        <v>1236</v>
      </c>
    </row>
    <row r="547" ht="30" customHeight="1" spans="1:27" x14ac:dyDescent="0.25">
      <c r="A547" s="4" t="s">
        <v>146</v>
      </c>
      <c r="B547" s="4" t="s">
        <v>117</v>
      </c>
      <c r="C547" s="4">
        <v>15000</v>
      </c>
      <c r="D547" s="4" t="s">
        <v>109</v>
      </c>
      <c r="E547" s="4">
        <v>1</v>
      </c>
      <c r="F547" s="4">
        <v>938</v>
      </c>
      <c r="G547" s="4">
        <v>10400</v>
      </c>
      <c r="H547" s="4">
        <v>5215</v>
      </c>
      <c r="I547" s="4">
        <v>9464</v>
      </c>
      <c r="J547" s="5">
        <v>0</v>
      </c>
      <c r="K547" s="6">
        <v>527.2825455</v>
      </c>
      <c r="L547" s="6">
        <v>594.6434378</v>
      </c>
      <c r="M547" s="6">
        <v>669.8146016200001</v>
      </c>
      <c r="N547" s="6">
        <v>60530.001531</v>
      </c>
      <c r="O547" s="6">
        <v>60617.8550458</v>
      </c>
      <c r="P547" s="6">
        <v>60864.84522643001</v>
      </c>
      <c r="Q547" s="6">
        <v>10</v>
      </c>
      <c r="R547" s="6">
        <v>11</v>
      </c>
      <c r="S547" s="6">
        <v>11</v>
      </c>
      <c r="T547" s="6">
        <v>542.4879938319257</v>
      </c>
      <c r="U547" s="6">
        <v>60551.9696029936</v>
      </c>
      <c r="V547" s="6">
        <v>60681.13800145839</v>
      </c>
      <c r="W547" s="4">
        <v>0</v>
      </c>
      <c r="X547" s="4">
        <v>0</v>
      </c>
      <c r="Y547" s="4">
        <v>0</v>
      </c>
      <c r="Z547" s="4" t="s">
        <v>1237</v>
      </c>
      <c r="AA547" s="4" t="s">
        <v>1238</v>
      </c>
    </row>
    <row r="548" ht="30" customHeight="1" spans="1:27" x14ac:dyDescent="0.25">
      <c r="A548" s="4" t="s">
        <v>146</v>
      </c>
      <c r="B548" s="4" t="s">
        <v>117</v>
      </c>
      <c r="C548" s="4">
        <v>15000</v>
      </c>
      <c r="D548" s="4" t="s">
        <v>109</v>
      </c>
      <c r="E548" s="4">
        <v>2</v>
      </c>
      <c r="F548" s="4">
        <v>938</v>
      </c>
      <c r="G548" s="4">
        <v>10407</v>
      </c>
      <c r="H548" s="4">
        <v>5247</v>
      </c>
      <c r="I548" s="4">
        <v>9470</v>
      </c>
      <c r="J548" s="5">
        <v>0</v>
      </c>
      <c r="K548" s="6">
        <v>526.14055</v>
      </c>
      <c r="L548" s="6">
        <v>592.5641234</v>
      </c>
      <c r="M548" s="6">
        <v>655.9263768200003</v>
      </c>
      <c r="N548" s="6">
        <v>60528.403843</v>
      </c>
      <c r="O548" s="6">
        <v>60611.59678</v>
      </c>
      <c r="P548" s="6">
        <v>60856.96887028</v>
      </c>
      <c r="Q548" s="6">
        <v>10</v>
      </c>
      <c r="R548" s="6">
        <v>11</v>
      </c>
      <c r="S548" s="6">
        <v>11</v>
      </c>
      <c r="T548" s="6">
        <v>540.450350095802</v>
      </c>
      <c r="U548" s="6">
        <v>60549.98610025049</v>
      </c>
      <c r="V548" s="6">
        <v>60670.60494826246</v>
      </c>
      <c r="W548" s="4">
        <v>0</v>
      </c>
      <c r="X548" s="4">
        <v>0</v>
      </c>
      <c r="Y548" s="4">
        <v>0</v>
      </c>
      <c r="Z548" s="4" t="s">
        <v>1239</v>
      </c>
      <c r="AA548" s="4" t="s">
        <v>1240</v>
      </c>
    </row>
    <row r="549" ht="30" customHeight="1" spans="1:27" x14ac:dyDescent="0.25">
      <c r="A549" s="4" t="s">
        <v>146</v>
      </c>
      <c r="B549" s="4" t="s">
        <v>117</v>
      </c>
      <c r="C549" s="4">
        <v>15000</v>
      </c>
      <c r="D549" s="4" t="s">
        <v>109</v>
      </c>
      <c r="E549" s="4">
        <v>3</v>
      </c>
      <c r="F549" s="4">
        <v>938</v>
      </c>
      <c r="G549" s="4">
        <v>10402</v>
      </c>
      <c r="H549" s="4">
        <v>5253</v>
      </c>
      <c r="I549" s="4">
        <v>9465</v>
      </c>
      <c r="J549" s="5">
        <v>0</v>
      </c>
      <c r="K549" s="6">
        <v>526.760487</v>
      </c>
      <c r="L549" s="6">
        <v>590.8741943</v>
      </c>
      <c r="M549" s="6">
        <v>643.2181226399999</v>
      </c>
      <c r="N549" s="6">
        <v>60530.423658</v>
      </c>
      <c r="O549" s="6">
        <v>60615.912840599995</v>
      </c>
      <c r="P549" s="6">
        <v>60855.34858814</v>
      </c>
      <c r="Q549" s="6">
        <v>10</v>
      </c>
      <c r="R549" s="6">
        <v>11</v>
      </c>
      <c r="S549" s="6">
        <v>11</v>
      </c>
      <c r="T549" s="6">
        <v>540.085292320226</v>
      </c>
      <c r="U549" s="6">
        <v>60551.5423375849</v>
      </c>
      <c r="V549" s="6">
        <v>60668.029053449056</v>
      </c>
      <c r="W549" s="4">
        <v>0</v>
      </c>
      <c r="X549" s="4">
        <v>0</v>
      </c>
      <c r="Y549" s="4">
        <v>0</v>
      </c>
      <c r="Z549" s="4" t="s">
        <v>1241</v>
      </c>
      <c r="AA549" s="4" t="s">
        <v>1242</v>
      </c>
    </row>
    <row r="550" ht="30" customHeight="1" spans="1:27" x14ac:dyDescent="0.25">
      <c r="A550" s="4" t="s">
        <v>146</v>
      </c>
      <c r="B550" s="4" t="s">
        <v>117</v>
      </c>
      <c r="C550" s="4">
        <v>15000</v>
      </c>
      <c r="D550" s="4" t="s">
        <v>109</v>
      </c>
      <c r="E550" s="4">
        <v>4</v>
      </c>
      <c r="F550" s="4">
        <v>938</v>
      </c>
      <c r="G550" s="4">
        <v>10392</v>
      </c>
      <c r="H550" s="4">
        <v>5122</v>
      </c>
      <c r="I550" s="4">
        <v>9459</v>
      </c>
      <c r="J550" s="5">
        <v>0</v>
      </c>
      <c r="K550" s="6">
        <v>526.3339129999999</v>
      </c>
      <c r="L550" s="6">
        <v>590.1049525999999</v>
      </c>
      <c r="M550" s="6">
        <v>645.67836932</v>
      </c>
      <c r="N550" s="6">
        <v>60528.408641</v>
      </c>
      <c r="O550" s="6">
        <v>60612.98327049999</v>
      </c>
      <c r="P550" s="6">
        <v>60846.886198780005</v>
      </c>
      <c r="Q550" s="6">
        <v>10</v>
      </c>
      <c r="R550" s="6">
        <v>11</v>
      </c>
      <c r="S550" s="6">
        <v>11</v>
      </c>
      <c r="T550" s="6">
        <v>539.5698356511715</v>
      </c>
      <c r="U550" s="6">
        <v>60549.6976931341</v>
      </c>
      <c r="V550" s="6">
        <v>60664.07610396098</v>
      </c>
      <c r="W550" s="4">
        <v>0</v>
      </c>
      <c r="X550" s="4">
        <v>0</v>
      </c>
      <c r="Y550" s="4">
        <v>0</v>
      </c>
      <c r="Z550" s="4" t="s">
        <v>1243</v>
      </c>
      <c r="AA550" s="4" t="s">
        <v>1244</v>
      </c>
    </row>
    <row r="551" ht="30" customHeight="1" spans="1:27" x14ac:dyDescent="0.25">
      <c r="A551" s="4" t="s">
        <v>146</v>
      </c>
      <c r="B551" s="4" t="s">
        <v>117</v>
      </c>
      <c r="C551" s="4">
        <v>15000</v>
      </c>
      <c r="D551" s="4" t="s">
        <v>109</v>
      </c>
      <c r="E551" s="4">
        <v>5</v>
      </c>
      <c r="F551" s="4">
        <v>938</v>
      </c>
      <c r="G551" s="4">
        <v>10406</v>
      </c>
      <c r="H551" s="4">
        <v>5256</v>
      </c>
      <c r="I551" s="4">
        <v>9469</v>
      </c>
      <c r="J551" s="5">
        <v>0</v>
      </c>
      <c r="K551" s="6">
        <v>528.6789415</v>
      </c>
      <c r="L551" s="6">
        <v>603.7677795</v>
      </c>
      <c r="M551" s="6">
        <v>684.9969538000003</v>
      </c>
      <c r="N551" s="6">
        <v>60531.6479555</v>
      </c>
      <c r="O551" s="6">
        <v>60626.037226</v>
      </c>
      <c r="P551" s="6">
        <v>60851.831495700004</v>
      </c>
      <c r="Q551" s="6">
        <v>10</v>
      </c>
      <c r="R551" s="6">
        <v>11</v>
      </c>
      <c r="S551" s="6">
        <v>11</v>
      </c>
      <c r="T551" s="6">
        <v>546.2839695852359</v>
      </c>
      <c r="U551" s="6">
        <v>60554.3970457139</v>
      </c>
      <c r="V551" s="6">
        <v>60703.032527440926</v>
      </c>
      <c r="W551" s="4">
        <v>0</v>
      </c>
      <c r="X551" s="4">
        <v>0</v>
      </c>
      <c r="Y551" s="4">
        <v>0</v>
      </c>
      <c r="Z551" s="4" t="s">
        <v>1245</v>
      </c>
      <c r="AA551" s="4" t="s">
        <v>1246</v>
      </c>
    </row>
    <row r="552" ht="30" customHeight="1" spans="1:27" x14ac:dyDescent="0.25">
      <c r="A552" s="4" t="s">
        <v>146</v>
      </c>
      <c r="B552" s="4" t="s">
        <v>117</v>
      </c>
      <c r="C552" s="4">
        <v>15000</v>
      </c>
      <c r="D552" s="4" t="s">
        <v>109</v>
      </c>
      <c r="E552" s="4">
        <v>6</v>
      </c>
      <c r="F552" s="4">
        <v>938</v>
      </c>
      <c r="G552" s="4">
        <v>10405</v>
      </c>
      <c r="H552" s="4">
        <v>5186</v>
      </c>
      <c r="I552" s="4">
        <v>9472</v>
      </c>
      <c r="J552" s="5">
        <v>0</v>
      </c>
      <c r="K552" s="6">
        <v>524.99829</v>
      </c>
      <c r="L552" s="6">
        <v>583.9687108</v>
      </c>
      <c r="M552" s="6">
        <v>632.2489463999997</v>
      </c>
      <c r="N552" s="6">
        <v>60526.993443</v>
      </c>
      <c r="O552" s="6">
        <v>60608.8258174</v>
      </c>
      <c r="P552" s="6">
        <v>60849.38999472</v>
      </c>
      <c r="Q552" s="6">
        <v>10</v>
      </c>
      <c r="R552" s="6">
        <v>11</v>
      </c>
      <c r="S552" s="6">
        <v>11</v>
      </c>
      <c r="T552" s="6">
        <v>536.4408336084579</v>
      </c>
      <c r="U552" s="6">
        <v>60548.19556728333</v>
      </c>
      <c r="V552" s="6">
        <v>60653.31829144579</v>
      </c>
      <c r="W552" s="4">
        <v>0</v>
      </c>
      <c r="X552" s="4">
        <v>0</v>
      </c>
      <c r="Y552" s="4">
        <v>0</v>
      </c>
      <c r="Z552" s="4" t="s">
        <v>1247</v>
      </c>
      <c r="AA552" s="4" t="s">
        <v>1248</v>
      </c>
    </row>
    <row r="553" ht="30" customHeight="1" spans="1:27" x14ac:dyDescent="0.25">
      <c r="A553" s="4" t="s">
        <v>146</v>
      </c>
      <c r="B553" s="4" t="s">
        <v>117</v>
      </c>
      <c r="C553" s="4">
        <v>15000</v>
      </c>
      <c r="D553" s="4" t="s">
        <v>109</v>
      </c>
      <c r="E553" s="4">
        <v>7</v>
      </c>
      <c r="F553" s="4">
        <v>938</v>
      </c>
      <c r="G553" s="4">
        <v>10416</v>
      </c>
      <c r="H553" s="4">
        <v>5251</v>
      </c>
      <c r="I553" s="4">
        <v>9479</v>
      </c>
      <c r="J553" s="5">
        <v>0</v>
      </c>
      <c r="K553" s="6">
        <v>526.0169955</v>
      </c>
      <c r="L553" s="6">
        <v>591.7897965</v>
      </c>
      <c r="M553" s="6">
        <v>653.9878144000003</v>
      </c>
      <c r="N553" s="6">
        <v>60529.544053000005</v>
      </c>
      <c r="O553" s="6">
        <v>60614.821807500004</v>
      </c>
      <c r="P553" s="6">
        <v>60858.0178287</v>
      </c>
      <c r="Q553" s="6">
        <v>10</v>
      </c>
      <c r="R553" s="6">
        <v>11</v>
      </c>
      <c r="S553" s="6">
        <v>11</v>
      </c>
      <c r="T553" s="6">
        <v>540.0819302458697</v>
      </c>
      <c r="U553" s="6">
        <v>60551.430003956324</v>
      </c>
      <c r="V553" s="6">
        <v>60674.51135212653</v>
      </c>
      <c r="W553" s="4">
        <v>0</v>
      </c>
      <c r="X553" s="4">
        <v>0</v>
      </c>
      <c r="Y553" s="4">
        <v>0</v>
      </c>
      <c r="Z553" s="4" t="s">
        <v>1249</v>
      </c>
      <c r="AA553" s="4" t="s">
        <v>1250</v>
      </c>
    </row>
    <row r="554" ht="30" customHeight="1" spans="1:27" x14ac:dyDescent="0.25">
      <c r="A554" s="4" t="s">
        <v>146</v>
      </c>
      <c r="B554" s="4" t="s">
        <v>117</v>
      </c>
      <c r="C554" s="4">
        <v>15000</v>
      </c>
      <c r="D554" s="4" t="s">
        <v>109</v>
      </c>
      <c r="E554" s="4">
        <v>8</v>
      </c>
      <c r="F554" s="4">
        <v>937</v>
      </c>
      <c r="G554" s="4">
        <v>10391</v>
      </c>
      <c r="H554" s="4">
        <v>5279</v>
      </c>
      <c r="I554" s="4">
        <v>9454</v>
      </c>
      <c r="J554" s="5">
        <v>0</v>
      </c>
      <c r="K554" s="6">
        <v>525.826039</v>
      </c>
      <c r="L554" s="6">
        <v>590.059676</v>
      </c>
      <c r="M554" s="6">
        <v>652.9331474000002</v>
      </c>
      <c r="N554" s="6">
        <v>60528.439293</v>
      </c>
      <c r="O554" s="6">
        <v>60606.249438</v>
      </c>
      <c r="P554" s="6">
        <v>60842.050381400004</v>
      </c>
      <c r="Q554" s="6">
        <v>10</v>
      </c>
      <c r="R554" s="6">
        <v>11</v>
      </c>
      <c r="S554" s="6">
        <v>11</v>
      </c>
      <c r="T554" s="6">
        <v>539.2733913666667</v>
      </c>
      <c r="U554" s="6">
        <v>60547.91216448226</v>
      </c>
      <c r="V554" s="6">
        <v>60664.45933101603</v>
      </c>
      <c r="W554" s="4">
        <v>0</v>
      </c>
      <c r="X554" s="4">
        <v>0</v>
      </c>
      <c r="Y554" s="4">
        <v>0</v>
      </c>
      <c r="Z554" s="4" t="s">
        <v>1251</v>
      </c>
      <c r="AA554" s="4" t="s">
        <v>1252</v>
      </c>
    </row>
    <row r="555" ht="30" customHeight="1" spans="1:27" x14ac:dyDescent="0.25">
      <c r="A555" s="4" t="s">
        <v>146</v>
      </c>
      <c r="B555" s="4" t="s">
        <v>117</v>
      </c>
      <c r="C555" s="4">
        <v>15000</v>
      </c>
      <c r="D555" s="4" t="s">
        <v>109</v>
      </c>
      <c r="E555" s="4">
        <v>9</v>
      </c>
      <c r="F555" s="4">
        <v>937</v>
      </c>
      <c r="G555" s="4">
        <v>10392</v>
      </c>
      <c r="H555" s="4">
        <v>5219</v>
      </c>
      <c r="I555" s="4">
        <v>9458</v>
      </c>
      <c r="J555" s="5">
        <v>0</v>
      </c>
      <c r="K555" s="6">
        <v>528.083228</v>
      </c>
      <c r="L555" s="6">
        <v>594.7669563000001</v>
      </c>
      <c r="M555" s="6">
        <v>659.3688830000001</v>
      </c>
      <c r="N555" s="6">
        <v>60531.305509</v>
      </c>
      <c r="O555" s="6">
        <v>60616.0582186</v>
      </c>
      <c r="P555" s="6">
        <v>60853.1187677</v>
      </c>
      <c r="Q555" s="6">
        <v>10</v>
      </c>
      <c r="R555" s="6">
        <v>11</v>
      </c>
      <c r="S555" s="6">
        <v>11</v>
      </c>
      <c r="T555" s="6">
        <v>542.6129666690723</v>
      </c>
      <c r="U555" s="6">
        <v>60553.01055782181</v>
      </c>
      <c r="V555" s="6">
        <v>60679.23363376963</v>
      </c>
      <c r="W555" s="4">
        <v>0</v>
      </c>
      <c r="X555" s="4">
        <v>0</v>
      </c>
      <c r="Y555" s="4">
        <v>0</v>
      </c>
      <c r="Z555" s="4" t="s">
        <v>1253</v>
      </c>
      <c r="AA555" s="4" t="s">
        <v>1254</v>
      </c>
    </row>
    <row r="556" ht="30" customHeight="1" spans="1:27" x14ac:dyDescent="0.25">
      <c r="A556" s="4" t="s">
        <v>146</v>
      </c>
      <c r="B556" s="4" t="s">
        <v>117</v>
      </c>
      <c r="C556" s="4">
        <v>15000</v>
      </c>
      <c r="D556" s="4" t="s">
        <v>109</v>
      </c>
      <c r="E556" s="4">
        <v>10</v>
      </c>
      <c r="F556" s="4">
        <v>937</v>
      </c>
      <c r="G556" s="4">
        <v>10400</v>
      </c>
      <c r="H556" s="4">
        <v>5148</v>
      </c>
      <c r="I556" s="4">
        <v>9465</v>
      </c>
      <c r="J556" s="5">
        <v>0</v>
      </c>
      <c r="K556" s="6">
        <v>523.6826679999999</v>
      </c>
      <c r="L556" s="6">
        <v>585.4526781000001</v>
      </c>
      <c r="M556" s="6">
        <v>652.29247068</v>
      </c>
      <c r="N556" s="6">
        <v>60526.8894915</v>
      </c>
      <c r="O556" s="6">
        <v>60606.3971565</v>
      </c>
      <c r="P556" s="6">
        <v>60863.47107802</v>
      </c>
      <c r="Q556" s="6">
        <v>10</v>
      </c>
      <c r="R556" s="6">
        <v>11</v>
      </c>
      <c r="S556" s="6">
        <v>11</v>
      </c>
      <c r="T556" s="6">
        <v>536.2409839051936</v>
      </c>
      <c r="U556" s="6">
        <v>60548.05312786753</v>
      </c>
      <c r="V556" s="6">
        <v>60656.7410196808</v>
      </c>
      <c r="W556" s="4">
        <v>0</v>
      </c>
      <c r="X556" s="4">
        <v>0</v>
      </c>
      <c r="Y556" s="4">
        <v>0</v>
      </c>
      <c r="Z556" s="4" t="s">
        <v>1255</v>
      </c>
      <c r="AA556" s="4" t="s">
        <v>1256</v>
      </c>
    </row>
    <row r="557" ht="30" customHeight="1" spans="1:27" x14ac:dyDescent="0.25">
      <c r="A557" s="4" t="s">
        <v>146</v>
      </c>
      <c r="B557" s="4" t="s">
        <v>117</v>
      </c>
      <c r="C557" s="4">
        <v>15000</v>
      </c>
      <c r="D557" s="4" t="s">
        <v>109</v>
      </c>
      <c r="E557" s="4">
        <v>11</v>
      </c>
      <c r="F557" s="4">
        <v>937</v>
      </c>
      <c r="G557" s="4">
        <v>10389</v>
      </c>
      <c r="H557" s="4">
        <v>5121</v>
      </c>
      <c r="I557" s="4">
        <v>9454</v>
      </c>
      <c r="J557" s="5">
        <v>0</v>
      </c>
      <c r="K557" s="6">
        <v>524.474641</v>
      </c>
      <c r="L557" s="6">
        <v>586.2038566000001</v>
      </c>
      <c r="M557" s="6">
        <v>642.7437935600001</v>
      </c>
      <c r="N557" s="6">
        <v>60526.031594</v>
      </c>
      <c r="O557" s="6">
        <v>60604.288674999996</v>
      </c>
      <c r="P557" s="6">
        <v>60818.567085200004</v>
      </c>
      <c r="Q557" s="6">
        <v>10</v>
      </c>
      <c r="R557" s="6">
        <v>11</v>
      </c>
      <c r="S557" s="6">
        <v>11</v>
      </c>
      <c r="T557" s="6">
        <v>537.27590869487</v>
      </c>
      <c r="U557" s="6">
        <v>60546.408105809875</v>
      </c>
      <c r="V557" s="6">
        <v>60659.01840208235</v>
      </c>
      <c r="W557" s="4">
        <v>0</v>
      </c>
      <c r="X557" s="4">
        <v>0</v>
      </c>
      <c r="Y557" s="4">
        <v>0</v>
      </c>
      <c r="Z557" s="4" t="s">
        <v>1257</v>
      </c>
      <c r="AA557" s="4" t="s">
        <v>1258</v>
      </c>
    </row>
    <row r="558" ht="30" customHeight="1" spans="1:27" x14ac:dyDescent="0.25">
      <c r="A558" s="4" t="s">
        <v>146</v>
      </c>
      <c r="B558" s="4" t="s">
        <v>117</v>
      </c>
      <c r="C558" s="4">
        <v>15000</v>
      </c>
      <c r="D558" s="4" t="s">
        <v>109</v>
      </c>
      <c r="E558" s="4">
        <v>12</v>
      </c>
      <c r="F558" s="4">
        <v>937</v>
      </c>
      <c r="G558" s="4">
        <v>10400</v>
      </c>
      <c r="H558" s="4">
        <v>5176</v>
      </c>
      <c r="I558" s="4">
        <v>9465</v>
      </c>
      <c r="J558" s="5">
        <v>0</v>
      </c>
      <c r="K558" s="6">
        <v>524.636694</v>
      </c>
      <c r="L558" s="6">
        <v>588.3075751</v>
      </c>
      <c r="M558" s="6">
        <v>640.1559531500001</v>
      </c>
      <c r="N558" s="6">
        <v>60527.0258375</v>
      </c>
      <c r="O558" s="6">
        <v>60610.4730271</v>
      </c>
      <c r="P558" s="6">
        <v>60860.39617565001</v>
      </c>
      <c r="Q558" s="6">
        <v>10</v>
      </c>
      <c r="R558" s="6">
        <v>11</v>
      </c>
      <c r="S558" s="6">
        <v>11</v>
      </c>
      <c r="T558" s="6">
        <v>537.9334710142319</v>
      </c>
      <c r="U558" s="6">
        <v>60549.488661002186</v>
      </c>
      <c r="V558" s="6">
        <v>60668.942895569664</v>
      </c>
      <c r="W558" s="4">
        <v>0</v>
      </c>
      <c r="X558" s="4">
        <v>0</v>
      </c>
      <c r="Y558" s="4">
        <v>0</v>
      </c>
      <c r="Z558" s="4" t="s">
        <v>1259</v>
      </c>
      <c r="AA558" s="4" t="s">
        <v>1260</v>
      </c>
    </row>
    <row r="559" ht="30" customHeight="1" spans="1:27" x14ac:dyDescent="0.25">
      <c r="A559" s="4" t="s">
        <v>146</v>
      </c>
      <c r="B559" s="4" t="s">
        <v>117</v>
      </c>
      <c r="C559" s="4">
        <v>15000</v>
      </c>
      <c r="D559" s="4" t="s">
        <v>109</v>
      </c>
      <c r="E559" s="4">
        <v>13</v>
      </c>
      <c r="F559" s="4">
        <v>937</v>
      </c>
      <c r="G559" s="4">
        <v>10384</v>
      </c>
      <c r="H559" s="4">
        <v>5314</v>
      </c>
      <c r="I559" s="4">
        <v>9451</v>
      </c>
      <c r="J559" s="5">
        <v>0</v>
      </c>
      <c r="K559" s="6">
        <v>528.092989</v>
      </c>
      <c r="L559" s="6">
        <v>596.2131705</v>
      </c>
      <c r="M559" s="6">
        <v>655.61962017</v>
      </c>
      <c r="N559" s="6">
        <v>60531.532892</v>
      </c>
      <c r="O559" s="6">
        <v>60615.914530300004</v>
      </c>
      <c r="P559" s="6">
        <v>60841.74330428</v>
      </c>
      <c r="Q559" s="6">
        <v>10</v>
      </c>
      <c r="R559" s="6">
        <v>11</v>
      </c>
      <c r="S559" s="6">
        <v>11</v>
      </c>
      <c r="T559" s="6">
        <v>542.9010004586887</v>
      </c>
      <c r="U559" s="6">
        <v>60551.96076878555</v>
      </c>
      <c r="V559" s="6">
        <v>60681.13779813616</v>
      </c>
      <c r="W559" s="4">
        <v>0</v>
      </c>
      <c r="X559" s="4">
        <v>0</v>
      </c>
      <c r="Y559" s="4">
        <v>0</v>
      </c>
      <c r="Z559" s="4" t="s">
        <v>1261</v>
      </c>
      <c r="AA559" s="4" t="s">
        <v>1262</v>
      </c>
    </row>
    <row r="560" ht="30" customHeight="1" spans="1:27" x14ac:dyDescent="0.25">
      <c r="A560" s="4" t="s">
        <v>146</v>
      </c>
      <c r="B560" s="4" t="s">
        <v>117</v>
      </c>
      <c r="C560" s="4">
        <v>15000</v>
      </c>
      <c r="D560" s="4" t="s">
        <v>109</v>
      </c>
      <c r="E560" s="4">
        <v>14</v>
      </c>
      <c r="F560" s="4">
        <v>937</v>
      </c>
      <c r="G560" s="4">
        <v>10381</v>
      </c>
      <c r="H560" s="4">
        <v>5123</v>
      </c>
      <c r="I560" s="4">
        <v>9457</v>
      </c>
      <c r="J560" s="5">
        <v>0</v>
      </c>
      <c r="K560" s="6">
        <v>527.14267</v>
      </c>
      <c r="L560" s="6">
        <v>596.722947</v>
      </c>
      <c r="M560" s="6">
        <v>665.6673268000003</v>
      </c>
      <c r="N560" s="6">
        <v>60529.417818</v>
      </c>
      <c r="O560" s="6">
        <v>60614.006486</v>
      </c>
      <c r="P560" s="6">
        <v>60840.9441078</v>
      </c>
      <c r="Q560" s="6">
        <v>10</v>
      </c>
      <c r="R560" s="6">
        <v>11</v>
      </c>
      <c r="S560" s="6">
        <v>11</v>
      </c>
      <c r="T560" s="6">
        <v>542.3100601924693</v>
      </c>
      <c r="U560" s="6">
        <v>60550.72868966186</v>
      </c>
      <c r="V560" s="6">
        <v>60689.585258203704</v>
      </c>
      <c r="W560" s="4">
        <v>0</v>
      </c>
      <c r="X560" s="4">
        <v>0</v>
      </c>
      <c r="Y560" s="4">
        <v>0</v>
      </c>
      <c r="Z560" s="4" t="s">
        <v>1263</v>
      </c>
      <c r="AA560" s="4" t="s">
        <v>1264</v>
      </c>
    </row>
    <row r="561" ht="30" customHeight="1" spans="1:27" x14ac:dyDescent="0.25">
      <c r="A561" s="4" t="s">
        <v>146</v>
      </c>
      <c r="B561" s="4" t="s">
        <v>117</v>
      </c>
      <c r="C561" s="4">
        <v>15000</v>
      </c>
      <c r="D561" s="4" t="s">
        <v>109</v>
      </c>
      <c r="E561" s="4">
        <v>15</v>
      </c>
      <c r="F561" s="4">
        <v>937</v>
      </c>
      <c r="G561" s="4">
        <v>10397</v>
      </c>
      <c r="H561" s="4">
        <v>5225</v>
      </c>
      <c r="I561" s="4">
        <v>9460</v>
      </c>
      <c r="J561" s="5">
        <v>0</v>
      </c>
      <c r="K561" s="6">
        <v>526.82975</v>
      </c>
      <c r="L561" s="6">
        <v>595.761934</v>
      </c>
      <c r="M561" s="6">
        <v>673.1995261599994</v>
      </c>
      <c r="N561" s="6">
        <v>60528.577918</v>
      </c>
      <c r="O561" s="6">
        <v>60614.373695</v>
      </c>
      <c r="P561" s="6">
        <v>60851.79627508</v>
      </c>
      <c r="Q561" s="6">
        <v>10</v>
      </c>
      <c r="R561" s="6">
        <v>11</v>
      </c>
      <c r="S561" s="6">
        <v>11</v>
      </c>
      <c r="T561" s="6">
        <v>542.0431103835732</v>
      </c>
      <c r="U561" s="6">
        <v>60550.085109238695</v>
      </c>
      <c r="V561" s="6">
        <v>60684.66846219018</v>
      </c>
      <c r="W561" s="4">
        <v>0</v>
      </c>
      <c r="X561" s="4">
        <v>0</v>
      </c>
      <c r="Y561" s="4">
        <v>0</v>
      </c>
      <c r="Z561" s="4" t="s">
        <v>1265</v>
      </c>
      <c r="AA561" s="4" t="s">
        <v>1266</v>
      </c>
    </row>
    <row r="562" ht="30" customHeight="1" spans="1:27" x14ac:dyDescent="0.25">
      <c r="A562" s="4" t="s">
        <v>146</v>
      </c>
      <c r="B562" s="4" t="s">
        <v>117</v>
      </c>
      <c r="C562" s="4">
        <v>18000</v>
      </c>
      <c r="D562" s="4" t="s">
        <v>109</v>
      </c>
      <c r="E562" s="4">
        <v>0</v>
      </c>
      <c r="F562" s="4">
        <v>1125</v>
      </c>
      <c r="G562" s="4">
        <v>12430</v>
      </c>
      <c r="H562" s="4">
        <v>6292</v>
      </c>
      <c r="I562" s="4">
        <v>11306</v>
      </c>
      <c r="J562" s="5">
        <v>0</v>
      </c>
      <c r="K562" s="6">
        <v>564.404792</v>
      </c>
      <c r="L562" s="6">
        <v>734.487982</v>
      </c>
      <c r="M562" s="6">
        <v>980.5321362899998</v>
      </c>
      <c r="N562" s="6">
        <v>60564.887998</v>
      </c>
      <c r="O562" s="6">
        <v>60806.057641600004</v>
      </c>
      <c r="P562" s="6">
        <v>61251.11382298</v>
      </c>
      <c r="Q562" s="6">
        <v>10</v>
      </c>
      <c r="R562" s="6">
        <v>11</v>
      </c>
      <c r="S562" s="6">
        <v>11</v>
      </c>
      <c r="T562" s="6">
        <v>594.798188446822</v>
      </c>
      <c r="U562" s="6">
        <v>60622.60808592519</v>
      </c>
      <c r="V562" s="6">
        <v>60995.21466955219</v>
      </c>
      <c r="W562" s="4">
        <v>0</v>
      </c>
      <c r="X562" s="4">
        <v>0</v>
      </c>
      <c r="Y562" s="4">
        <v>0</v>
      </c>
      <c r="Z562" s="4" t="s">
        <v>1267</v>
      </c>
      <c r="AA562" s="4" t="s">
        <v>1268</v>
      </c>
    </row>
    <row r="563" ht="30" customHeight="1" spans="1:27" x14ac:dyDescent="0.25">
      <c r="A563" s="4" t="s">
        <v>146</v>
      </c>
      <c r="B563" s="4" t="s">
        <v>117</v>
      </c>
      <c r="C563" s="4">
        <v>18000</v>
      </c>
      <c r="D563" s="4" t="s">
        <v>109</v>
      </c>
      <c r="E563" s="4">
        <v>1</v>
      </c>
      <c r="F563" s="4">
        <v>1125</v>
      </c>
      <c r="G563" s="4">
        <v>12427</v>
      </c>
      <c r="H563" s="4">
        <v>6166</v>
      </c>
      <c r="I563" s="4">
        <v>11303</v>
      </c>
      <c r="J563" s="5">
        <v>0</v>
      </c>
      <c r="K563" s="6">
        <v>577.393505</v>
      </c>
      <c r="L563" s="6">
        <v>698.0582248</v>
      </c>
      <c r="M563" s="6">
        <v>802.05005942</v>
      </c>
      <c r="N563" s="6">
        <v>60573.68301</v>
      </c>
      <c r="O563" s="6">
        <v>60794.5093462</v>
      </c>
      <c r="P563" s="6">
        <v>61249.45487128</v>
      </c>
      <c r="Q563" s="6">
        <v>10</v>
      </c>
      <c r="R563" s="6">
        <v>11</v>
      </c>
      <c r="S563" s="6">
        <v>11</v>
      </c>
      <c r="T563" s="6">
        <v>590.2721609944468</v>
      </c>
      <c r="U563" s="6">
        <v>60624.85436909336</v>
      </c>
      <c r="V563" s="6">
        <v>60953.268787983616</v>
      </c>
      <c r="W563" s="4">
        <v>0</v>
      </c>
      <c r="X563" s="4">
        <v>0</v>
      </c>
      <c r="Y563" s="4">
        <v>0</v>
      </c>
      <c r="Z563" s="4" t="s">
        <v>1269</v>
      </c>
      <c r="AA563" s="4" t="s">
        <v>1270</v>
      </c>
    </row>
    <row r="564" ht="30" customHeight="1" spans="1:27" x14ac:dyDescent="0.25">
      <c r="A564" s="4" t="s">
        <v>146</v>
      </c>
      <c r="B564" s="4" t="s">
        <v>117</v>
      </c>
      <c r="C564" s="4">
        <v>18000</v>
      </c>
      <c r="D564" s="4" t="s">
        <v>109</v>
      </c>
      <c r="E564" s="4">
        <v>2</v>
      </c>
      <c r="F564" s="4">
        <v>1125</v>
      </c>
      <c r="G564" s="4">
        <v>12443</v>
      </c>
      <c r="H564" s="4">
        <v>6170</v>
      </c>
      <c r="I564" s="4">
        <v>11319</v>
      </c>
      <c r="J564" s="5">
        <v>0</v>
      </c>
      <c r="K564" s="6">
        <v>558.287338</v>
      </c>
      <c r="L564" s="6">
        <v>643.2534750000001</v>
      </c>
      <c r="M564" s="6">
        <v>752.61256728</v>
      </c>
      <c r="N564" s="6">
        <v>60559.923373</v>
      </c>
      <c r="O564" s="6">
        <v>60763.956762400005</v>
      </c>
      <c r="P564" s="6">
        <v>61224.19170754</v>
      </c>
      <c r="Q564" s="6">
        <v>10</v>
      </c>
      <c r="R564" s="6">
        <v>11</v>
      </c>
      <c r="S564" s="6">
        <v>11</v>
      </c>
      <c r="T564" s="6">
        <v>568.1108685895696</v>
      </c>
      <c r="U564" s="6">
        <v>60609.223352473105</v>
      </c>
      <c r="V564" s="6">
        <v>60815.023832086554</v>
      </c>
      <c r="W564" s="4">
        <v>0</v>
      </c>
      <c r="X564" s="4">
        <v>0</v>
      </c>
      <c r="Y564" s="4">
        <v>0</v>
      </c>
      <c r="Z564" s="4" t="s">
        <v>1271</v>
      </c>
      <c r="AA564" s="4" t="s">
        <v>1272</v>
      </c>
    </row>
    <row r="565" ht="30" customHeight="1" spans="1:27" x14ac:dyDescent="0.25">
      <c r="A565" s="4" t="s">
        <v>146</v>
      </c>
      <c r="B565" s="4" t="s">
        <v>117</v>
      </c>
      <c r="C565" s="4">
        <v>18000</v>
      </c>
      <c r="D565" s="4" t="s">
        <v>109</v>
      </c>
      <c r="E565" s="4">
        <v>3</v>
      </c>
      <c r="F565" s="4">
        <v>1125</v>
      </c>
      <c r="G565" s="4">
        <v>12429</v>
      </c>
      <c r="H565" s="4">
        <v>6272</v>
      </c>
      <c r="I565" s="4">
        <v>11307</v>
      </c>
      <c r="J565" s="5">
        <v>0</v>
      </c>
      <c r="K565" s="6">
        <v>566.913527</v>
      </c>
      <c r="L565" s="6">
        <v>697.2211558000001</v>
      </c>
      <c r="M565" s="6">
        <v>830.9793993599992</v>
      </c>
      <c r="N565" s="6">
        <v>60567.21186</v>
      </c>
      <c r="O565" s="6">
        <v>60784.1132584</v>
      </c>
      <c r="P565" s="6">
        <v>61266.050277359995</v>
      </c>
      <c r="Q565" s="6">
        <v>10</v>
      </c>
      <c r="R565" s="6">
        <v>11</v>
      </c>
      <c r="S565" s="6">
        <v>11</v>
      </c>
      <c r="T565" s="6">
        <v>585.7527783758146</v>
      </c>
      <c r="U565" s="6">
        <v>60619.590955679</v>
      </c>
      <c r="V565" s="6">
        <v>60935.91476529503</v>
      </c>
      <c r="W565" s="4">
        <v>0</v>
      </c>
      <c r="X565" s="4">
        <v>0</v>
      </c>
      <c r="Y565" s="4">
        <v>0</v>
      </c>
      <c r="Z565" s="4" t="s">
        <v>1273</v>
      </c>
      <c r="AA565" s="4" t="s">
        <v>1274</v>
      </c>
    </row>
    <row r="566" ht="30" customHeight="1" spans="1:27" x14ac:dyDescent="0.25">
      <c r="A566" s="4" t="s">
        <v>146</v>
      </c>
      <c r="B566" s="4" t="s">
        <v>117</v>
      </c>
      <c r="C566" s="4">
        <v>18000</v>
      </c>
      <c r="D566" s="4" t="s">
        <v>109</v>
      </c>
      <c r="E566" s="4">
        <v>4</v>
      </c>
      <c r="F566" s="4">
        <v>1125</v>
      </c>
      <c r="G566" s="4">
        <v>12429</v>
      </c>
      <c r="H566" s="4">
        <v>6182</v>
      </c>
      <c r="I566" s="4">
        <v>11305</v>
      </c>
      <c r="J566" s="5">
        <v>0</v>
      </c>
      <c r="K566" s="6">
        <v>561.821665</v>
      </c>
      <c r="L566" s="6">
        <v>652.5274706</v>
      </c>
      <c r="M566" s="6">
        <v>740.05341188</v>
      </c>
      <c r="N566" s="6">
        <v>60560.858191</v>
      </c>
      <c r="O566" s="6">
        <v>60778.249211400005</v>
      </c>
      <c r="P566" s="6">
        <v>61274.912296279996</v>
      </c>
      <c r="Q566" s="6">
        <v>10</v>
      </c>
      <c r="R566" s="6">
        <v>11</v>
      </c>
      <c r="S566" s="6">
        <v>11</v>
      </c>
      <c r="T566" s="6">
        <v>570.9127757008629</v>
      </c>
      <c r="U566" s="6">
        <v>60613.562563802494</v>
      </c>
      <c r="V566" s="6">
        <v>60824.9228836366</v>
      </c>
      <c r="W566" s="4">
        <v>0</v>
      </c>
      <c r="X566" s="4">
        <v>0</v>
      </c>
      <c r="Y566" s="4">
        <v>0</v>
      </c>
      <c r="Z566" s="4" t="s">
        <v>1275</v>
      </c>
      <c r="AA566" s="4" t="s">
        <v>1276</v>
      </c>
    </row>
    <row r="567" ht="30" customHeight="1" spans="1:27" x14ac:dyDescent="0.25">
      <c r="A567" s="4" t="s">
        <v>146</v>
      </c>
      <c r="B567" s="4" t="s">
        <v>117</v>
      </c>
      <c r="C567" s="4">
        <v>18000</v>
      </c>
      <c r="D567" s="4" t="s">
        <v>109</v>
      </c>
      <c r="E567" s="4">
        <v>5</v>
      </c>
      <c r="F567" s="4">
        <v>1125</v>
      </c>
      <c r="G567" s="4">
        <v>12437</v>
      </c>
      <c r="H567" s="4">
        <v>6286</v>
      </c>
      <c r="I567" s="4">
        <v>11314</v>
      </c>
      <c r="J567" s="5">
        <v>0</v>
      </c>
      <c r="K567" s="6">
        <v>560.993634</v>
      </c>
      <c r="L567" s="6">
        <v>654.1491714</v>
      </c>
      <c r="M567" s="6">
        <v>747.8485272399996</v>
      </c>
      <c r="N567" s="6">
        <v>60562.118673</v>
      </c>
      <c r="O567" s="6">
        <v>60781.3386838</v>
      </c>
      <c r="P567" s="6">
        <v>61238.60955828</v>
      </c>
      <c r="Q567" s="6">
        <v>10</v>
      </c>
      <c r="R567" s="6">
        <v>11</v>
      </c>
      <c r="S567" s="6">
        <v>11</v>
      </c>
      <c r="T567" s="6">
        <v>571.0550172543199</v>
      </c>
      <c r="U567" s="6">
        <v>60614.63780770705</v>
      </c>
      <c r="V567" s="6">
        <v>60837.03071866837</v>
      </c>
      <c r="W567" s="4">
        <v>0</v>
      </c>
      <c r="X567" s="4">
        <v>0</v>
      </c>
      <c r="Y567" s="4">
        <v>0</v>
      </c>
      <c r="Z567" s="4" t="s">
        <v>1277</v>
      </c>
      <c r="AA567" s="4" t="s">
        <v>1278</v>
      </c>
    </row>
    <row r="568" ht="30" customHeight="1" spans="1:27" x14ac:dyDescent="0.25">
      <c r="A568" s="4" t="s">
        <v>146</v>
      </c>
      <c r="B568" s="4" t="s">
        <v>117</v>
      </c>
      <c r="C568" s="4">
        <v>18000</v>
      </c>
      <c r="D568" s="4" t="s">
        <v>109</v>
      </c>
      <c r="E568" s="4">
        <v>6</v>
      </c>
      <c r="F568" s="4">
        <v>1125</v>
      </c>
      <c r="G568" s="4">
        <v>12434</v>
      </c>
      <c r="H568" s="4">
        <v>6242</v>
      </c>
      <c r="I568" s="4">
        <v>11312</v>
      </c>
      <c r="J568" s="5">
        <v>0</v>
      </c>
      <c r="K568" s="6">
        <v>569.204304</v>
      </c>
      <c r="L568" s="6">
        <v>728.591943</v>
      </c>
      <c r="M568" s="6">
        <v>910.65450614</v>
      </c>
      <c r="N568" s="6">
        <v>60566.5097945</v>
      </c>
      <c r="O568" s="6">
        <v>60795.3633893</v>
      </c>
      <c r="P568" s="6">
        <v>61258.34593683</v>
      </c>
      <c r="Q568" s="6">
        <v>10</v>
      </c>
      <c r="R568" s="6">
        <v>11</v>
      </c>
      <c r="S568" s="6">
        <v>11</v>
      </c>
      <c r="T568" s="6">
        <v>595.7929116273945</v>
      </c>
      <c r="U568" s="6">
        <v>60621.530002285974</v>
      </c>
      <c r="V568" s="6">
        <v>60995.791267565284</v>
      </c>
      <c r="W568" s="4">
        <v>0</v>
      </c>
      <c r="X568" s="4">
        <v>0</v>
      </c>
      <c r="Y568" s="4">
        <v>0</v>
      </c>
      <c r="Z568" s="4" t="s">
        <v>1279</v>
      </c>
      <c r="AA568" s="4" t="s">
        <v>1280</v>
      </c>
    </row>
    <row r="569" ht="30" customHeight="1" spans="1:27" x14ac:dyDescent="0.25">
      <c r="A569" s="4" t="s">
        <v>146</v>
      </c>
      <c r="B569" s="4" t="s">
        <v>117</v>
      </c>
      <c r="C569" s="4">
        <v>18000</v>
      </c>
      <c r="D569" s="4" t="s">
        <v>109</v>
      </c>
      <c r="E569" s="4">
        <v>7</v>
      </c>
      <c r="F569" s="4">
        <v>1125</v>
      </c>
      <c r="G569" s="4">
        <v>12439</v>
      </c>
      <c r="H569" s="4">
        <v>6285</v>
      </c>
      <c r="I569" s="4">
        <v>11317</v>
      </c>
      <c r="J569" s="5">
        <v>0</v>
      </c>
      <c r="K569" s="6">
        <v>557.205647</v>
      </c>
      <c r="L569" s="6">
        <v>654.3354494</v>
      </c>
      <c r="M569" s="6">
        <v>787.2709309199994</v>
      </c>
      <c r="N569" s="6">
        <v>60559.645411</v>
      </c>
      <c r="O569" s="6">
        <v>60767.2906736</v>
      </c>
      <c r="P569" s="6">
        <v>61240.73182016</v>
      </c>
      <c r="Q569" s="6">
        <v>10</v>
      </c>
      <c r="R569" s="6">
        <v>11</v>
      </c>
      <c r="S569" s="6">
        <v>11</v>
      </c>
      <c r="T569" s="6">
        <v>571.4827175380661</v>
      </c>
      <c r="U569" s="6">
        <v>60610.700363371696</v>
      </c>
      <c r="V569" s="6">
        <v>60832.276156453176</v>
      </c>
      <c r="W569" s="4">
        <v>0</v>
      </c>
      <c r="X569" s="4">
        <v>0</v>
      </c>
      <c r="Y569" s="4">
        <v>0</v>
      </c>
      <c r="Z569" s="4" t="s">
        <v>1281</v>
      </c>
      <c r="AA569" s="4" t="s">
        <v>1282</v>
      </c>
    </row>
    <row r="570" ht="30" customHeight="1" spans="1:27" x14ac:dyDescent="0.25">
      <c r="A570" s="4" t="s">
        <v>146</v>
      </c>
      <c r="B570" s="4" t="s">
        <v>117</v>
      </c>
      <c r="C570" s="4">
        <v>18000</v>
      </c>
      <c r="D570" s="4" t="s">
        <v>109</v>
      </c>
      <c r="E570" s="4">
        <v>8</v>
      </c>
      <c r="F570" s="4">
        <v>1125</v>
      </c>
      <c r="G570" s="4">
        <v>12441</v>
      </c>
      <c r="H570" s="4">
        <v>6103</v>
      </c>
      <c r="I570" s="4">
        <v>11316</v>
      </c>
      <c r="J570" s="5">
        <v>0</v>
      </c>
      <c r="K570" s="6">
        <v>560.040187</v>
      </c>
      <c r="L570" s="6">
        <v>716.181904</v>
      </c>
      <c r="M570" s="6">
        <v>845.7985504000001</v>
      </c>
      <c r="N570" s="6">
        <v>60565.884691</v>
      </c>
      <c r="O570" s="6">
        <v>60790.848976</v>
      </c>
      <c r="P570" s="6">
        <v>61259.4303032</v>
      </c>
      <c r="Q570" s="6">
        <v>10</v>
      </c>
      <c r="R570" s="6">
        <v>11</v>
      </c>
      <c r="S570" s="6">
        <v>11</v>
      </c>
      <c r="T570" s="6">
        <v>587.4308016582231</v>
      </c>
      <c r="U570" s="6">
        <v>60619.8121803063</v>
      </c>
      <c r="V570" s="6">
        <v>60945.930375934804</v>
      </c>
      <c r="W570" s="4">
        <v>0</v>
      </c>
      <c r="X570" s="4">
        <v>0</v>
      </c>
      <c r="Y570" s="4">
        <v>0</v>
      </c>
      <c r="Z570" s="4" t="s">
        <v>1283</v>
      </c>
      <c r="AA570" s="4" t="s">
        <v>1284</v>
      </c>
    </row>
    <row r="571" ht="30" customHeight="1" spans="1:27" x14ac:dyDescent="0.25">
      <c r="A571" s="4" t="s">
        <v>146</v>
      </c>
      <c r="B571" s="4" t="s">
        <v>117</v>
      </c>
      <c r="C571" s="4">
        <v>18000</v>
      </c>
      <c r="D571" s="4" t="s">
        <v>109</v>
      </c>
      <c r="E571" s="4">
        <v>9</v>
      </c>
      <c r="F571" s="4">
        <v>1125</v>
      </c>
      <c r="G571" s="4">
        <v>12439</v>
      </c>
      <c r="H571" s="4">
        <v>6256</v>
      </c>
      <c r="I571" s="4">
        <v>11315</v>
      </c>
      <c r="J571" s="5">
        <v>0</v>
      </c>
      <c r="K571" s="6">
        <v>558.895059</v>
      </c>
      <c r="L571" s="6">
        <v>642.9369978000001</v>
      </c>
      <c r="M571" s="6">
        <v>733.6751995599993</v>
      </c>
      <c r="N571" s="6">
        <v>60558.804665</v>
      </c>
      <c r="O571" s="6">
        <v>60765.1314042</v>
      </c>
      <c r="P571" s="6">
        <v>61248.569689699994</v>
      </c>
      <c r="Q571" s="6">
        <v>10</v>
      </c>
      <c r="R571" s="6">
        <v>11</v>
      </c>
      <c r="S571" s="6">
        <v>11</v>
      </c>
      <c r="T571" s="6">
        <v>568.332773493367</v>
      </c>
      <c r="U571" s="6">
        <v>60609.86220572418</v>
      </c>
      <c r="V571" s="6">
        <v>60817.75235737424</v>
      </c>
      <c r="W571" s="4">
        <v>0</v>
      </c>
      <c r="X571" s="4">
        <v>0</v>
      </c>
      <c r="Y571" s="4">
        <v>0</v>
      </c>
      <c r="Z571" s="4" t="s">
        <v>1285</v>
      </c>
      <c r="AA571" s="4" t="s">
        <v>1286</v>
      </c>
    </row>
    <row r="572" ht="30" customHeight="1" spans="1:27" x14ac:dyDescent="0.25">
      <c r="A572" s="4" t="s">
        <v>146</v>
      </c>
      <c r="B572" s="4" t="s">
        <v>117</v>
      </c>
      <c r="C572" s="4">
        <v>18000</v>
      </c>
      <c r="D572" s="4" t="s">
        <v>109</v>
      </c>
      <c r="E572" s="4">
        <v>10</v>
      </c>
      <c r="F572" s="4">
        <v>1125</v>
      </c>
      <c r="G572" s="4">
        <v>12442</v>
      </c>
      <c r="H572" s="4">
        <v>6234</v>
      </c>
      <c r="I572" s="4">
        <v>11317</v>
      </c>
      <c r="J572" s="5">
        <v>0</v>
      </c>
      <c r="K572" s="6">
        <v>572.0444575</v>
      </c>
      <c r="L572" s="6">
        <v>699.9137906</v>
      </c>
      <c r="M572" s="6">
        <v>851.3661533800001</v>
      </c>
      <c r="N572" s="6">
        <v>60567.972968</v>
      </c>
      <c r="O572" s="6">
        <v>60789.265995199996</v>
      </c>
      <c r="P572" s="6">
        <v>61243.78209455</v>
      </c>
      <c r="Q572" s="6">
        <v>10</v>
      </c>
      <c r="R572" s="6">
        <v>11</v>
      </c>
      <c r="S572" s="6">
        <v>11</v>
      </c>
      <c r="T572" s="6">
        <v>588.323224078362</v>
      </c>
      <c r="U572" s="6">
        <v>60620.18724377386</v>
      </c>
      <c r="V572" s="6">
        <v>60948.02104747742</v>
      </c>
      <c r="W572" s="4">
        <v>0</v>
      </c>
      <c r="X572" s="4">
        <v>0</v>
      </c>
      <c r="Y572" s="4">
        <v>0</v>
      </c>
      <c r="Z572" s="4" t="s">
        <v>1287</v>
      </c>
      <c r="AA572" s="4" t="s">
        <v>1288</v>
      </c>
    </row>
    <row r="573" ht="30" customHeight="1" spans="1:27" x14ac:dyDescent="0.25">
      <c r="A573" s="4" t="s">
        <v>146</v>
      </c>
      <c r="B573" s="4" t="s">
        <v>117</v>
      </c>
      <c r="C573" s="4">
        <v>18000</v>
      </c>
      <c r="D573" s="4" t="s">
        <v>109</v>
      </c>
      <c r="E573" s="4">
        <v>11</v>
      </c>
      <c r="F573" s="4">
        <v>1125</v>
      </c>
      <c r="G573" s="4">
        <v>12418</v>
      </c>
      <c r="H573" s="4">
        <v>6253</v>
      </c>
      <c r="I573" s="4">
        <v>11322</v>
      </c>
      <c r="J573" s="5">
        <v>0</v>
      </c>
      <c r="K573" s="6">
        <v>568.110404</v>
      </c>
      <c r="L573" s="6">
        <v>639.9854964</v>
      </c>
      <c r="M573" s="6">
        <v>725.97897257</v>
      </c>
      <c r="N573" s="6">
        <v>60563.3503065</v>
      </c>
      <c r="O573" s="6">
        <v>60758.6434375</v>
      </c>
      <c r="P573" s="6">
        <v>61220.44145289</v>
      </c>
      <c r="Q573" s="6">
        <v>10</v>
      </c>
      <c r="R573" s="6">
        <v>11</v>
      </c>
      <c r="S573" s="6">
        <v>11</v>
      </c>
      <c r="T573" s="6">
        <v>570.844762671365</v>
      </c>
      <c r="U573" s="6">
        <v>60610.45998333701</v>
      </c>
      <c r="V573" s="6">
        <v>60832.0936997143</v>
      </c>
      <c r="W573" s="4">
        <v>0</v>
      </c>
      <c r="X573" s="4">
        <v>0</v>
      </c>
      <c r="Y573" s="4">
        <v>0</v>
      </c>
      <c r="Z573" s="4" t="s">
        <v>1289</v>
      </c>
      <c r="AA573" s="4" t="s">
        <v>1290</v>
      </c>
    </row>
    <row r="574" ht="30" customHeight="1" spans="1:27" x14ac:dyDescent="0.25">
      <c r="A574" s="4" t="s">
        <v>146</v>
      </c>
      <c r="B574" s="4" t="s">
        <v>117</v>
      </c>
      <c r="C574" s="4">
        <v>18000</v>
      </c>
      <c r="D574" s="4" t="s">
        <v>109</v>
      </c>
      <c r="E574" s="4">
        <v>12</v>
      </c>
      <c r="F574" s="4">
        <v>1125</v>
      </c>
      <c r="G574" s="4">
        <v>12434</v>
      </c>
      <c r="H574" s="4">
        <v>6245</v>
      </c>
      <c r="I574" s="4">
        <v>11323</v>
      </c>
      <c r="J574" s="5">
        <v>0</v>
      </c>
      <c r="K574" s="6">
        <v>558.325412</v>
      </c>
      <c r="L574" s="6">
        <v>642.842119</v>
      </c>
      <c r="M574" s="6">
        <v>735.48346371</v>
      </c>
      <c r="N574" s="6">
        <v>60560.119839499996</v>
      </c>
      <c r="O574" s="6">
        <v>60764.2017236</v>
      </c>
      <c r="P574" s="6">
        <v>61260.60045104</v>
      </c>
      <c r="Q574" s="6">
        <v>10</v>
      </c>
      <c r="R574" s="6">
        <v>11</v>
      </c>
      <c r="S574" s="6">
        <v>11</v>
      </c>
      <c r="T574" s="6">
        <v>568.1373830218782</v>
      </c>
      <c r="U574" s="6">
        <v>60610.90253041195</v>
      </c>
      <c r="V574" s="6">
        <v>60815.199464334815</v>
      </c>
      <c r="W574" s="4">
        <v>0</v>
      </c>
      <c r="X574" s="4">
        <v>0</v>
      </c>
      <c r="Y574" s="4">
        <v>0</v>
      </c>
      <c r="Z574" s="4" t="s">
        <v>1291</v>
      </c>
      <c r="AA574" s="4" t="s">
        <v>1292</v>
      </c>
    </row>
    <row r="575" ht="30" customHeight="1" spans="1:27" x14ac:dyDescent="0.25">
      <c r="A575" s="4" t="s">
        <v>146</v>
      </c>
      <c r="B575" s="4" t="s">
        <v>117</v>
      </c>
      <c r="C575" s="4">
        <v>18000</v>
      </c>
      <c r="D575" s="4" t="s">
        <v>109</v>
      </c>
      <c r="E575" s="4">
        <v>13</v>
      </c>
      <c r="F575" s="4">
        <v>1125</v>
      </c>
      <c r="G575" s="4">
        <v>12441</v>
      </c>
      <c r="H575" s="4">
        <v>6192</v>
      </c>
      <c r="I575" s="4">
        <v>11318</v>
      </c>
      <c r="J575" s="5">
        <v>0</v>
      </c>
      <c r="K575" s="6">
        <v>580.837988</v>
      </c>
      <c r="L575" s="6">
        <v>727.338701</v>
      </c>
      <c r="M575" s="6">
        <v>890.6755222000002</v>
      </c>
      <c r="N575" s="6">
        <v>60573.889665</v>
      </c>
      <c r="O575" s="6">
        <v>60814.315225</v>
      </c>
      <c r="P575" s="6">
        <v>61303.966706</v>
      </c>
      <c r="Q575" s="6">
        <v>10</v>
      </c>
      <c r="R575" s="6">
        <v>11</v>
      </c>
      <c r="S575" s="6">
        <v>11</v>
      </c>
      <c r="T575" s="6">
        <v>601.3507963171779</v>
      </c>
      <c r="U575" s="6">
        <v>60630.29548112655</v>
      </c>
      <c r="V575" s="6">
        <v>61022.46220915235</v>
      </c>
      <c r="W575" s="4">
        <v>0</v>
      </c>
      <c r="X575" s="4">
        <v>0</v>
      </c>
      <c r="Y575" s="4">
        <v>0</v>
      </c>
      <c r="Z575" s="4" t="s">
        <v>1293</v>
      </c>
      <c r="AA575" s="4" t="s">
        <v>1294</v>
      </c>
    </row>
    <row r="576" ht="30" customHeight="1" spans="1:27" x14ac:dyDescent="0.25">
      <c r="A576" s="4" t="s">
        <v>146</v>
      </c>
      <c r="B576" s="4" t="s">
        <v>117</v>
      </c>
      <c r="C576" s="4">
        <v>18000</v>
      </c>
      <c r="D576" s="4" t="s">
        <v>109</v>
      </c>
      <c r="E576" s="4">
        <v>14</v>
      </c>
      <c r="F576" s="4">
        <v>1125</v>
      </c>
      <c r="G576" s="4">
        <v>12442</v>
      </c>
      <c r="H576" s="4">
        <v>6282</v>
      </c>
      <c r="I576" s="4">
        <v>11318</v>
      </c>
      <c r="J576" s="5">
        <v>0</v>
      </c>
      <c r="K576" s="6">
        <v>553.9559935</v>
      </c>
      <c r="L576" s="6">
        <v>627.1026211999999</v>
      </c>
      <c r="M576" s="6">
        <v>724.45447593</v>
      </c>
      <c r="N576" s="6">
        <v>60559.5423765</v>
      </c>
      <c r="O576" s="6">
        <v>60755.8414812</v>
      </c>
      <c r="P576" s="6">
        <v>61203.564368479994</v>
      </c>
      <c r="Q576" s="6">
        <v>10</v>
      </c>
      <c r="R576" s="6">
        <v>11</v>
      </c>
      <c r="S576" s="6">
        <v>11</v>
      </c>
      <c r="T576" s="6">
        <v>563.3547754865774</v>
      </c>
      <c r="U576" s="6">
        <v>60606.761413678854</v>
      </c>
      <c r="V576" s="6">
        <v>60814.140837104605</v>
      </c>
      <c r="W576" s="4">
        <v>0</v>
      </c>
      <c r="X576" s="4">
        <v>0</v>
      </c>
      <c r="Y576" s="4">
        <v>0</v>
      </c>
      <c r="Z576" s="4" t="s">
        <v>1295</v>
      </c>
      <c r="AA576" s="4" t="s">
        <v>1296</v>
      </c>
    </row>
    <row r="577" ht="30" customHeight="1" spans="1:27" x14ac:dyDescent="0.25">
      <c r="A577" s="4" t="s">
        <v>146</v>
      </c>
      <c r="B577" s="4" t="s">
        <v>117</v>
      </c>
      <c r="C577" s="4">
        <v>18000</v>
      </c>
      <c r="D577" s="4" t="s">
        <v>109</v>
      </c>
      <c r="E577" s="4">
        <v>15</v>
      </c>
      <c r="F577" s="4">
        <v>1125</v>
      </c>
      <c r="G577" s="4">
        <v>12444</v>
      </c>
      <c r="H577" s="4">
        <v>6250</v>
      </c>
      <c r="I577" s="4">
        <v>11323</v>
      </c>
      <c r="J577" s="5">
        <v>0</v>
      </c>
      <c r="K577" s="6">
        <v>574.282609</v>
      </c>
      <c r="L577" s="6">
        <v>710.9791689</v>
      </c>
      <c r="M577" s="6">
        <v>841.2429955599997</v>
      </c>
      <c r="N577" s="6">
        <v>60568.3973625</v>
      </c>
      <c r="O577" s="6">
        <v>60787.711046100005</v>
      </c>
      <c r="P577" s="6">
        <v>61268.09773638</v>
      </c>
      <c r="Q577" s="6">
        <v>10</v>
      </c>
      <c r="R577" s="6">
        <v>11</v>
      </c>
      <c r="S577" s="6">
        <v>11</v>
      </c>
      <c r="T577" s="6">
        <v>593.2874232721805</v>
      </c>
      <c r="U577" s="6">
        <v>60621.16583378874</v>
      </c>
      <c r="V577" s="6">
        <v>60962.44972228737</v>
      </c>
      <c r="W577" s="4">
        <v>0</v>
      </c>
      <c r="X577" s="4">
        <v>0</v>
      </c>
      <c r="Y577" s="4">
        <v>0</v>
      </c>
      <c r="Z577" s="4" t="s">
        <v>1297</v>
      </c>
      <c r="AA577" s="4" t="s">
        <v>1298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  <headerFooter>
    <oddFooter>&amp;Lxrouter | 2026-10-14整理&amp;R第 &amp;P 页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 zoomScale="85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5" customWidth="1"/>
    <col min="3" max="3" width="105" customWidth="1"/>
  </cols>
  <sheetData>
    <row r="1" ht="44" customHeight="1" spans="1:3" x14ac:dyDescent="0.25">
      <c r="A1" s="3" t="s">
        <v>1299</v>
      </c>
      <c r="B1" s="3" t="s">
        <v>1300</v>
      </c>
      <c r="C1" s="3" t="s">
        <v>1301</v>
      </c>
    </row>
    <row r="2" ht="40" customHeight="1" spans="1:3" x14ac:dyDescent="0.25">
      <c r="A2" s="4" t="s">
        <v>124</v>
      </c>
      <c r="B2" s="4" t="s">
        <v>146</v>
      </c>
      <c r="C2" s="4" t="s">
        <v>1302</v>
      </c>
    </row>
    <row r="3" ht="40" customHeight="1" spans="1:3" x14ac:dyDescent="0.25">
      <c r="A3" s="4" t="s">
        <v>1303</v>
      </c>
      <c r="B3" s="4" t="s">
        <v>1304</v>
      </c>
      <c r="C3" s="4" t="s">
        <v>1305</v>
      </c>
    </row>
    <row r="4" ht="40" customHeight="1" spans="1:3" x14ac:dyDescent="0.25">
      <c r="A4" s="4" t="s">
        <v>1306</v>
      </c>
      <c r="B4" s="4" t="s">
        <v>1307</v>
      </c>
      <c r="C4" s="4" t="s">
        <v>1308</v>
      </c>
    </row>
    <row r="5" ht="40" customHeight="1" spans="1:3" x14ac:dyDescent="0.25">
      <c r="A5" s="4" t="s">
        <v>1309</v>
      </c>
      <c r="B5" s="4" t="s">
        <v>1310</v>
      </c>
      <c r="C5" s="4" t="s">
        <v>1311</v>
      </c>
    </row>
    <row r="6" ht="40" customHeight="1" spans="1:3" x14ac:dyDescent="0.25">
      <c r="A6" s="4" t="s">
        <v>1312</v>
      </c>
      <c r="B6" s="4" t="s">
        <v>1313</v>
      </c>
      <c r="C6" s="4" t="s">
        <v>1314</v>
      </c>
    </row>
    <row r="7" ht="40" customHeight="1" spans="1:3" x14ac:dyDescent="0.25">
      <c r="A7" s="4" t="s">
        <v>1315</v>
      </c>
      <c r="B7" s="4" t="s">
        <v>1316</v>
      </c>
      <c r="C7" s="4" t="s">
        <v>1317</v>
      </c>
    </row>
    <row r="8" ht="40" customHeight="1" spans="1:3" x14ac:dyDescent="0.25">
      <c r="A8" s="4" t="s">
        <v>1318</v>
      </c>
      <c r="B8" s="4" t="s">
        <v>1319</v>
      </c>
      <c r="C8" s="4" t="s">
        <v>1320</v>
      </c>
    </row>
    <row r="9" ht="40" customHeight="1" spans="1:3" x14ac:dyDescent="0.25">
      <c r="A9" s="4" t="s">
        <v>1321</v>
      </c>
      <c r="B9" s="4" t="s">
        <v>23</v>
      </c>
      <c r="C9" s="4" t="s">
        <v>1322</v>
      </c>
    </row>
    <row r="10" ht="40" customHeight="1" spans="1:3" x14ac:dyDescent="0.25">
      <c r="A10" s="4" t="s">
        <v>1323</v>
      </c>
      <c r="B10" s="4" t="s">
        <v>1324</v>
      </c>
      <c r="C10" s="4" t="s">
        <v>1325</v>
      </c>
    </row>
    <row r="11" ht="40" customHeight="1" spans="1:3" x14ac:dyDescent="0.25">
      <c r="A11" s="4" t="s">
        <v>1326</v>
      </c>
      <c r="B11" s="4" t="s">
        <v>1327</v>
      </c>
      <c r="C11" s="4" t="s">
        <v>1328</v>
      </c>
    </row>
    <row r="12" ht="40" customHeight="1" spans="1:3" x14ac:dyDescent="0.25">
      <c r="A12" s="4" t="s">
        <v>1329</v>
      </c>
      <c r="B12" s="4" t="s">
        <v>1330</v>
      </c>
      <c r="C12" s="4" t="s">
        <v>1331</v>
      </c>
    </row>
    <row r="13" ht="40" customHeight="1" spans="1:3" x14ac:dyDescent="0.25">
      <c r="A13" s="4" t="s">
        <v>1332</v>
      </c>
      <c r="B13" s="4" t="s">
        <v>1333</v>
      </c>
      <c r="C13" s="4" t="s">
        <v>1334</v>
      </c>
    </row>
    <row r="14" ht="40" customHeight="1" spans="1:3" x14ac:dyDescent="0.25">
      <c r="A14" s="4" t="s">
        <v>1335</v>
      </c>
      <c r="B14" s="4" t="s">
        <v>1336</v>
      </c>
      <c r="C14" s="4" t="s">
        <v>1337</v>
      </c>
    </row>
    <row r="15" ht="40" customHeight="1" spans="1:3" x14ac:dyDescent="0.25">
      <c r="A15" s="4" t="s">
        <v>72</v>
      </c>
      <c r="B15" s="4" t="s">
        <v>1338</v>
      </c>
      <c r="C15" s="4" t="s">
        <v>1339</v>
      </c>
    </row>
    <row r="16" ht="40" customHeight="1" spans="1:3" x14ac:dyDescent="0.25">
      <c r="A16" s="4" t="s">
        <v>1340</v>
      </c>
      <c r="B16" s="4" t="s">
        <v>1341</v>
      </c>
      <c r="C16" s="4" t="s">
        <v>1342</v>
      </c>
    </row>
    <row r="17" ht="40" customHeight="1" spans="1:3" x14ac:dyDescent="0.25">
      <c r="A17" s="4" t="s">
        <v>1343</v>
      </c>
      <c r="B17" s="4" t="s">
        <v>1344</v>
      </c>
      <c r="C17" s="4" t="s">
        <v>1345</v>
      </c>
    </row>
    <row r="18" ht="40" customHeight="1" spans="1:3" x14ac:dyDescent="0.25">
      <c r="A18" s="4" t="s">
        <v>1346</v>
      </c>
      <c r="B18" s="4" t="s">
        <v>1347</v>
      </c>
      <c r="C18" s="4" t="s">
        <v>1348</v>
      </c>
    </row>
    <row r="19" ht="40" customHeight="1" spans="1:3" x14ac:dyDescent="0.25">
      <c r="A19" s="4" t="s">
        <v>1349</v>
      </c>
      <c r="B19" s="4" t="s">
        <v>1350</v>
      </c>
      <c r="C19" s="4" t="s">
        <v>1351</v>
      </c>
    </row>
    <row r="20" ht="40" customHeight="1" spans="1:3" x14ac:dyDescent="0.25">
      <c r="A20" s="4" t="s">
        <v>1352</v>
      </c>
      <c r="B20" s="4">
        <v>10549562</v>
      </c>
      <c r="C20" s="4" t="s">
        <v>1353</v>
      </c>
    </row>
    <row r="21" ht="40" customHeight="1" spans="1:3" x14ac:dyDescent="0.25">
      <c r="A21" s="4" t="s">
        <v>1354</v>
      </c>
      <c r="B21" s="4">
        <v>5276182</v>
      </c>
      <c r="C21" s="4" t="s">
        <v>1355</v>
      </c>
    </row>
    <row r="22" ht="40" customHeight="1" spans="1:3" x14ac:dyDescent="0.25">
      <c r="A22" s="4" t="s">
        <v>1356</v>
      </c>
      <c r="B22" s="4" t="s">
        <v>1357</v>
      </c>
      <c r="C22" s="4" t="s">
        <v>1358</v>
      </c>
    </row>
    <row r="23" ht="40" customHeight="1" spans="1:3" x14ac:dyDescent="0.25">
      <c r="A23" s="4" t="s">
        <v>1359</v>
      </c>
      <c r="B23" s="4" t="s">
        <v>1360</v>
      </c>
      <c r="C23" s="4" t="s">
        <v>1361</v>
      </c>
    </row>
    <row r="24" ht="40" customHeight="1" spans="1:3" x14ac:dyDescent="0.25">
      <c r="A24" s="4" t="s">
        <v>1362</v>
      </c>
      <c r="B24" s="4" t="s">
        <v>1363</v>
      </c>
      <c r="C24" s="4" t="s">
        <v>1364</v>
      </c>
    </row>
    <row r="25" ht="40" customHeight="1" spans="1:3" x14ac:dyDescent="0.25">
      <c r="A25" s="4" t="s">
        <v>1365</v>
      </c>
      <c r="B25" s="4">
        <v>42</v>
      </c>
      <c r="C25" s="4" t="s">
        <v>1366</v>
      </c>
    </row>
    <row r="26" ht="40" customHeight="1" spans="1:3" x14ac:dyDescent="0.25">
      <c r="A26" s="4" t="s">
        <v>1367</v>
      </c>
      <c r="B26" s="4" t="s">
        <v>1368</v>
      </c>
      <c r="C26" s="4" t="s">
        <v>1369</v>
      </c>
    </row>
    <row r="27" ht="40" customHeight="1" spans="1:3" x14ac:dyDescent="0.25">
      <c r="A27" s="4" t="s">
        <v>1370</v>
      </c>
      <c r="B27" s="4" t="s">
        <v>1371</v>
      </c>
      <c r="C27" s="4" t="s">
        <v>1372</v>
      </c>
    </row>
    <row r="28" ht="40" customHeight="1" spans="1:3" x14ac:dyDescent="0.25">
      <c r="A28" s="4" t="s">
        <v>1373</v>
      </c>
      <c r="B28" s="4" t="s">
        <v>1374</v>
      </c>
      <c r="C28" s="4" t="s">
        <v>1375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oddFooter>&amp;Lxrouter | 2026-10-14整理&amp;R第 &amp;P 页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单机性能指标</vt:lpstr>
      <vt:lpstr>单机全档</vt:lpstr>
      <vt:lpstr>分片原始指标</vt:lpstr>
      <vt:lpstr>指标定义与口径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Factory</dc:creator>
  <dc:title>xrouter 单机性能指标</dc:title>
  <dc:subject>36 formal load stages; shard percentile ranges and explicit measurement limits</dc:subject>
  <dc:description/>
  <cp:keywords/>
  <cp:category/>
  <cp:lastModifiedBy>Unknown</cp:lastModifiedBy>
  <dcterms:created xsi:type="dcterms:W3CDTF">2026-10-14T04:53:30Z</dcterms:created>
  <dcterms:modified xsi:type="dcterms:W3CDTF">2026-10-14T04:53:30Z</dcterms:modified>
</cp:coreProperties>
</file>